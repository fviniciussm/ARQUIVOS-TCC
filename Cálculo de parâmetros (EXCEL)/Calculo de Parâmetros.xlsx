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esktop\"/>
    </mc:Choice>
  </mc:AlternateContent>
  <xr:revisionPtr revIDLastSave="0" documentId="13_ncr:1_{B3B073C4-B972-49D7-9918-E7AE4F5926D5}" xr6:coauthVersionLast="47" xr6:coauthVersionMax="47" xr10:uidLastSave="{00000000-0000-0000-0000-000000000000}"/>
  <bookViews>
    <workbookView xWindow="-120" yWindow="-120" windowWidth="20730" windowHeight="11310" xr2:uid="{7D2F6823-4A13-4695-B5B4-1EA996BEBAE4}"/>
  </bookViews>
  <sheets>
    <sheet name="Ensaios Motor CC" sheetId="1" r:id="rId1"/>
    <sheet name="LM2917M-8" sheetId="2" r:id="rId2"/>
    <sheet name="SG352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" i="1" l="1"/>
  <c r="AE18" i="4"/>
  <c r="AD24" i="4"/>
  <c r="AD23" i="4"/>
  <c r="AD22" i="4"/>
  <c r="AD21" i="4"/>
  <c r="AD20" i="4"/>
  <c r="AD19" i="4"/>
  <c r="AD18" i="4"/>
  <c r="H4" i="4"/>
  <c r="AI13" i="4"/>
  <c r="AF13" i="4"/>
  <c r="AC13" i="4"/>
  <c r="AI12" i="4"/>
  <c r="AF12" i="4"/>
  <c r="AC12" i="4"/>
  <c r="AI11" i="4"/>
  <c r="AF11" i="4"/>
  <c r="AC11" i="4"/>
  <c r="AL8" i="4"/>
  <c r="AI8" i="4"/>
  <c r="AF8" i="4"/>
  <c r="AC8" i="4"/>
  <c r="AL7" i="4"/>
  <c r="AI7" i="4"/>
  <c r="AF7" i="4"/>
  <c r="AC7" i="4"/>
  <c r="AL6" i="4"/>
  <c r="AI6" i="4"/>
  <c r="AF6" i="4"/>
  <c r="AC6" i="4"/>
  <c r="E5" i="4"/>
  <c r="H5" i="4"/>
  <c r="K5" i="4"/>
  <c r="N5" i="4"/>
  <c r="Q5" i="4"/>
  <c r="T5" i="4"/>
  <c r="W5" i="4"/>
  <c r="E6" i="4"/>
  <c r="W6" i="4"/>
  <c r="T6" i="4"/>
  <c r="Q6" i="4"/>
  <c r="N6" i="4"/>
  <c r="K6" i="4"/>
  <c r="H6" i="4"/>
  <c r="W4" i="4"/>
  <c r="T4" i="4"/>
  <c r="Q4" i="4"/>
  <c r="O8" i="4" s="1"/>
  <c r="N4" i="4"/>
  <c r="L8" i="4" s="1"/>
  <c r="K4" i="4"/>
  <c r="E4" i="4"/>
  <c r="C8" i="4" s="1"/>
  <c r="E43" i="2"/>
  <c r="E37" i="2"/>
  <c r="I35" i="2"/>
  <c r="H35" i="2"/>
  <c r="E35" i="2"/>
  <c r="I34" i="2"/>
  <c r="H34" i="2"/>
  <c r="E33" i="2"/>
  <c r="H31" i="2"/>
  <c r="H30" i="2"/>
  <c r="E30" i="2"/>
  <c r="E29" i="2"/>
  <c r="E17" i="2"/>
  <c r="H9" i="2"/>
  <c r="H6" i="2"/>
  <c r="F6" i="2"/>
  <c r="AB80" i="1"/>
  <c r="AC80" i="1" s="1"/>
  <c r="Z80" i="1"/>
  <c r="AB79" i="1"/>
  <c r="AC79" i="1" s="1"/>
  <c r="Z79" i="1"/>
  <c r="AB78" i="1"/>
  <c r="AC78" i="1" s="1"/>
  <c r="Z78" i="1"/>
  <c r="AB77" i="1"/>
  <c r="AC77" i="1" s="1"/>
  <c r="Z77" i="1"/>
  <c r="AB76" i="1"/>
  <c r="AC76" i="1" s="1"/>
  <c r="Z76" i="1"/>
  <c r="AB75" i="1"/>
  <c r="AC75" i="1" s="1"/>
  <c r="Z75" i="1"/>
  <c r="AB74" i="1"/>
  <c r="AC74" i="1" s="1"/>
  <c r="Z74" i="1"/>
  <c r="AB73" i="1"/>
  <c r="AC73" i="1" s="1"/>
  <c r="Z73" i="1"/>
  <c r="AB72" i="1"/>
  <c r="AC72" i="1" s="1"/>
  <c r="Z72" i="1"/>
  <c r="AB71" i="1"/>
  <c r="AC71" i="1" s="1"/>
  <c r="Z71" i="1"/>
  <c r="AB70" i="1"/>
  <c r="AC70" i="1" s="1"/>
  <c r="Z70" i="1"/>
  <c r="AB69" i="1"/>
  <c r="AC69" i="1" s="1"/>
  <c r="Z69" i="1"/>
  <c r="AB68" i="1"/>
  <c r="AC68" i="1" s="1"/>
  <c r="Z68" i="1"/>
  <c r="AB67" i="1"/>
  <c r="AC67" i="1" s="1"/>
  <c r="Z67" i="1"/>
  <c r="AB66" i="1"/>
  <c r="AC66" i="1" s="1"/>
  <c r="Z66" i="1"/>
  <c r="L57" i="1"/>
  <c r="M57" i="1" s="1"/>
  <c r="AB65" i="1"/>
  <c r="AC65" i="1" s="1"/>
  <c r="Z65" i="1"/>
  <c r="L56" i="1"/>
  <c r="M56" i="1" s="1"/>
  <c r="AB64" i="1"/>
  <c r="AC64" i="1" s="1"/>
  <c r="Z64" i="1"/>
  <c r="L55" i="1"/>
  <c r="M55" i="1" s="1"/>
  <c r="AB63" i="1"/>
  <c r="AC63" i="1" s="1"/>
  <c r="Z63" i="1"/>
  <c r="L54" i="1"/>
  <c r="M54" i="1" s="1"/>
  <c r="AB62" i="1"/>
  <c r="AC62" i="1" s="1"/>
  <c r="Z62" i="1"/>
  <c r="L53" i="1"/>
  <c r="M53" i="1" s="1"/>
  <c r="AB61" i="1"/>
  <c r="AC61" i="1" s="1"/>
  <c r="Z61" i="1"/>
  <c r="L52" i="1"/>
  <c r="M52" i="1" s="1"/>
  <c r="AB60" i="1"/>
  <c r="AC60" i="1" s="1"/>
  <c r="Z60" i="1"/>
  <c r="L51" i="1"/>
  <c r="M51" i="1" s="1"/>
  <c r="AB59" i="1"/>
  <c r="AC59" i="1" s="1"/>
  <c r="Z59" i="1"/>
  <c r="L50" i="1"/>
  <c r="M50" i="1" s="1"/>
  <c r="AB58" i="1"/>
  <c r="AC58" i="1" s="1"/>
  <c r="Z58" i="1"/>
  <c r="L49" i="1"/>
  <c r="M49" i="1" s="1"/>
  <c r="AB57" i="1"/>
  <c r="AC57" i="1" s="1"/>
  <c r="Z57" i="1"/>
  <c r="L48" i="1"/>
  <c r="M48" i="1" s="1"/>
  <c r="AB56" i="1"/>
  <c r="AC56" i="1" s="1"/>
  <c r="Z56" i="1"/>
  <c r="L47" i="1"/>
  <c r="M47" i="1" s="1"/>
  <c r="AB55" i="1"/>
  <c r="AC55" i="1" s="1"/>
  <c r="Z55" i="1"/>
  <c r="L46" i="1"/>
  <c r="M46" i="1" s="1"/>
  <c r="AB54" i="1"/>
  <c r="AC54" i="1" s="1"/>
  <c r="Z54" i="1"/>
  <c r="L45" i="1"/>
  <c r="M45" i="1" s="1"/>
  <c r="AB53" i="1"/>
  <c r="AC53" i="1" s="1"/>
  <c r="Z53" i="1"/>
  <c r="L44" i="1"/>
  <c r="M44" i="1" s="1"/>
  <c r="AB52" i="1"/>
  <c r="AC52" i="1" s="1"/>
  <c r="Z52" i="1"/>
  <c r="L43" i="1"/>
  <c r="M43" i="1" s="1"/>
  <c r="AB51" i="1"/>
  <c r="AC51" i="1" s="1"/>
  <c r="Z51" i="1"/>
  <c r="L42" i="1"/>
  <c r="M42" i="1" s="1"/>
  <c r="AB50" i="1"/>
  <c r="AC50" i="1" s="1"/>
  <c r="Z50" i="1"/>
  <c r="L41" i="1"/>
  <c r="M41" i="1" s="1"/>
  <c r="AB49" i="1"/>
  <c r="AC49" i="1" s="1"/>
  <c r="Z49" i="1"/>
  <c r="L40" i="1"/>
  <c r="M40" i="1" s="1"/>
  <c r="AB48" i="1"/>
  <c r="AC48" i="1" s="1"/>
  <c r="Z48" i="1"/>
  <c r="L39" i="1"/>
  <c r="M39" i="1" s="1"/>
  <c r="AB47" i="1"/>
  <c r="AC47" i="1" s="1"/>
  <c r="Z47" i="1"/>
  <c r="L38" i="1"/>
  <c r="M38" i="1" s="1"/>
  <c r="AB46" i="1"/>
  <c r="AC46" i="1" s="1"/>
  <c r="Z46" i="1"/>
  <c r="L37" i="1"/>
  <c r="M37" i="1" s="1"/>
  <c r="AB45" i="1"/>
  <c r="AC45" i="1" s="1"/>
  <c r="Z45" i="1"/>
  <c r="L36" i="1"/>
  <c r="M36" i="1" s="1"/>
  <c r="AB44" i="1"/>
  <c r="AC44" i="1" s="1"/>
  <c r="Z44" i="1"/>
  <c r="L35" i="1"/>
  <c r="M35" i="1" s="1"/>
  <c r="AB43" i="1"/>
  <c r="AC43" i="1" s="1"/>
  <c r="Z43" i="1"/>
  <c r="L34" i="1"/>
  <c r="M34" i="1" s="1"/>
  <c r="AB42" i="1"/>
  <c r="AC42" i="1" s="1"/>
  <c r="Z42" i="1"/>
  <c r="L33" i="1"/>
  <c r="M33" i="1" s="1"/>
  <c r="AB41" i="1"/>
  <c r="AC41" i="1" s="1"/>
  <c r="Z41" i="1"/>
  <c r="L32" i="1"/>
  <c r="M32" i="1" s="1"/>
  <c r="AB40" i="1"/>
  <c r="AC40" i="1" s="1"/>
  <c r="Z40" i="1"/>
  <c r="L31" i="1"/>
  <c r="M31" i="1" s="1"/>
  <c r="AB39" i="1"/>
  <c r="AC39" i="1" s="1"/>
  <c r="Z39" i="1"/>
  <c r="L30" i="1"/>
  <c r="M30" i="1" s="1"/>
  <c r="AB38" i="1"/>
  <c r="AC38" i="1" s="1"/>
  <c r="Z38" i="1"/>
  <c r="L29" i="1"/>
  <c r="M29" i="1" s="1"/>
  <c r="AB37" i="1"/>
  <c r="AC37" i="1" s="1"/>
  <c r="Z37" i="1"/>
  <c r="L28" i="1"/>
  <c r="M28" i="1" s="1"/>
  <c r="AB36" i="1"/>
  <c r="AC36" i="1" s="1"/>
  <c r="Z36" i="1"/>
  <c r="L27" i="1"/>
  <c r="M27" i="1" s="1"/>
  <c r="AB35" i="1"/>
  <c r="AC35" i="1" s="1"/>
  <c r="Z35" i="1"/>
  <c r="L26" i="1"/>
  <c r="M26" i="1" s="1"/>
  <c r="AB34" i="1"/>
  <c r="AC34" i="1" s="1"/>
  <c r="Z34" i="1"/>
  <c r="L25" i="1"/>
  <c r="M25" i="1" s="1"/>
  <c r="AB33" i="1"/>
  <c r="AC33" i="1" s="1"/>
  <c r="Z33" i="1"/>
  <c r="L24" i="1"/>
  <c r="M24" i="1" s="1"/>
  <c r="AB32" i="1"/>
  <c r="AC32" i="1" s="1"/>
  <c r="Z32" i="1"/>
  <c r="L23" i="1"/>
  <c r="M23" i="1" s="1"/>
  <c r="AB31" i="1"/>
  <c r="AC31" i="1" s="1"/>
  <c r="Z31" i="1"/>
  <c r="L22" i="1"/>
  <c r="M22" i="1" s="1"/>
  <c r="AB30" i="1"/>
  <c r="AC30" i="1" s="1"/>
  <c r="Z30" i="1"/>
  <c r="L21" i="1"/>
  <c r="M21" i="1" s="1"/>
  <c r="AB29" i="1"/>
  <c r="AC29" i="1" s="1"/>
  <c r="Z29" i="1"/>
  <c r="L20" i="1"/>
  <c r="M20" i="1" s="1"/>
  <c r="AB28" i="1"/>
  <c r="AC28" i="1" s="1"/>
  <c r="Z28" i="1"/>
  <c r="L19" i="1"/>
  <c r="M19" i="1" s="1"/>
  <c r="AB27" i="1"/>
  <c r="AC27" i="1" s="1"/>
  <c r="Z27" i="1"/>
  <c r="L18" i="1"/>
  <c r="M18" i="1" s="1"/>
  <c r="AB26" i="1"/>
  <c r="AC26" i="1" s="1"/>
  <c r="Z26" i="1"/>
  <c r="L17" i="1"/>
  <c r="M17" i="1" s="1"/>
  <c r="AB25" i="1"/>
  <c r="AC25" i="1" s="1"/>
  <c r="Z25" i="1"/>
  <c r="L16" i="1"/>
  <c r="AB24" i="1"/>
  <c r="AC24" i="1" s="1"/>
  <c r="Z24" i="1"/>
  <c r="L15" i="1"/>
  <c r="M15" i="1" s="1"/>
  <c r="AB23" i="1"/>
  <c r="AC23" i="1" s="1"/>
  <c r="Z23" i="1"/>
  <c r="AQ23" i="1"/>
  <c r="AR23" i="1" s="1"/>
  <c r="AO23" i="1"/>
  <c r="AS23" i="1" s="1"/>
  <c r="L14" i="1"/>
  <c r="M14" i="1" s="1"/>
  <c r="AB22" i="1"/>
  <c r="AC22" i="1" s="1"/>
  <c r="Z22" i="1"/>
  <c r="AQ22" i="1"/>
  <c r="AR22" i="1" s="1"/>
  <c r="AO22" i="1"/>
  <c r="AS22" i="1" s="1"/>
  <c r="L13" i="1"/>
  <c r="M13" i="1" s="1"/>
  <c r="AB21" i="1"/>
  <c r="AC21" i="1" s="1"/>
  <c r="Z21" i="1"/>
  <c r="AQ21" i="1"/>
  <c r="AR21" i="1" s="1"/>
  <c r="AO21" i="1"/>
  <c r="AS21" i="1" s="1"/>
  <c r="L12" i="1"/>
  <c r="M12" i="1" s="1"/>
  <c r="AB20" i="1"/>
  <c r="AC20" i="1" s="1"/>
  <c r="Z20" i="1"/>
  <c r="AQ20" i="1"/>
  <c r="AR20" i="1" s="1"/>
  <c r="AO20" i="1"/>
  <c r="AS20" i="1" s="1"/>
  <c r="L11" i="1"/>
  <c r="M11" i="1" s="1"/>
  <c r="AB19" i="1"/>
  <c r="AC19" i="1" s="1"/>
  <c r="Z19" i="1"/>
  <c r="AQ19" i="1"/>
  <c r="AR19" i="1" s="1"/>
  <c r="AO19" i="1"/>
  <c r="AS19" i="1" s="1"/>
  <c r="L10" i="1"/>
  <c r="M10" i="1" s="1"/>
  <c r="AB18" i="1"/>
  <c r="AC18" i="1" s="1"/>
  <c r="Z18" i="1"/>
  <c r="AQ18" i="1"/>
  <c r="AR18" i="1" s="1"/>
  <c r="AO18" i="1"/>
  <c r="AS18" i="1" s="1"/>
  <c r="L9" i="1"/>
  <c r="M9" i="1" s="1"/>
  <c r="AB17" i="1"/>
  <c r="AC17" i="1" s="1"/>
  <c r="Z17" i="1"/>
  <c r="AQ17" i="1"/>
  <c r="AR17" i="1" s="1"/>
  <c r="AO17" i="1"/>
  <c r="AS17" i="1" s="1"/>
  <c r="L8" i="1"/>
  <c r="M8" i="1" s="1"/>
  <c r="AB16" i="1"/>
  <c r="AC16" i="1" s="1"/>
  <c r="Z16" i="1"/>
  <c r="AQ16" i="1"/>
  <c r="AR16" i="1" s="1"/>
  <c r="AO16" i="1"/>
  <c r="AS16" i="1" s="1"/>
  <c r="L7" i="1"/>
  <c r="AB15" i="1"/>
  <c r="AC15" i="1" s="1"/>
  <c r="Z15" i="1"/>
  <c r="AQ15" i="1"/>
  <c r="AR15" i="1" s="1"/>
  <c r="AO15" i="1"/>
  <c r="AS15" i="1" s="1"/>
  <c r="AB14" i="1"/>
  <c r="AC14" i="1" s="1"/>
  <c r="Z14" i="1"/>
  <c r="AQ14" i="1"/>
  <c r="AR14" i="1" s="1"/>
  <c r="AO14" i="1"/>
  <c r="AS14" i="1" s="1"/>
  <c r="AB13" i="1"/>
  <c r="AC13" i="1" s="1"/>
  <c r="Z13" i="1"/>
  <c r="AQ13" i="1"/>
  <c r="AR13" i="1" s="1"/>
  <c r="AO13" i="1"/>
  <c r="AS13" i="1" s="1"/>
  <c r="AB12" i="1"/>
  <c r="AC12" i="1" s="1"/>
  <c r="Z12" i="1"/>
  <c r="AQ12" i="1"/>
  <c r="AR12" i="1" s="1"/>
  <c r="AO12" i="1"/>
  <c r="AS12" i="1" s="1"/>
  <c r="AB11" i="1"/>
  <c r="AC11" i="1" s="1"/>
  <c r="Z11" i="1"/>
  <c r="AQ11" i="1"/>
  <c r="AR11" i="1" s="1"/>
  <c r="AO11" i="1"/>
  <c r="E11" i="1"/>
  <c r="F11" i="1" s="1"/>
  <c r="AB10" i="1"/>
  <c r="AC10" i="1" s="1"/>
  <c r="Z10" i="1"/>
  <c r="AQ10" i="1"/>
  <c r="AR10" i="1" s="1"/>
  <c r="AO10" i="1"/>
  <c r="E10" i="1"/>
  <c r="F10" i="1" s="1"/>
  <c r="AB9" i="1"/>
  <c r="AC9" i="1" s="1"/>
  <c r="Z9" i="1"/>
  <c r="AQ9" i="1"/>
  <c r="AR9" i="1" s="1"/>
  <c r="AO9" i="1"/>
  <c r="AS9" i="1" s="1"/>
  <c r="E9" i="1"/>
  <c r="F9" i="1" s="1"/>
  <c r="AB8" i="1"/>
  <c r="AC8" i="1" s="1"/>
  <c r="Z8" i="1"/>
  <c r="AQ8" i="1"/>
  <c r="AR8" i="1" s="1"/>
  <c r="AO8" i="1"/>
  <c r="AS8" i="1" s="1"/>
  <c r="E8" i="1"/>
  <c r="F8" i="1" s="1"/>
  <c r="AB7" i="1"/>
  <c r="AC7" i="1" s="1"/>
  <c r="Z7" i="1"/>
  <c r="AR7" i="1"/>
  <c r="AO7" i="1"/>
  <c r="AS7" i="1" s="1"/>
  <c r="E7" i="1"/>
  <c r="F7" i="1" s="1"/>
  <c r="F12" i="1" l="1"/>
  <c r="M7" i="1"/>
  <c r="AF23" i="1"/>
  <c r="AF22" i="1"/>
  <c r="AJ23" i="1" s="1"/>
  <c r="AG28" i="1" s="1"/>
  <c r="AG29" i="1" s="1"/>
  <c r="M16" i="1"/>
  <c r="AS10" i="1"/>
  <c r="AS11" i="1"/>
  <c r="U8" i="4"/>
  <c r="F9" i="4"/>
  <c r="R8" i="4"/>
  <c r="C9" i="4"/>
  <c r="R9" i="4"/>
  <c r="I8" i="4"/>
  <c r="O9" i="4"/>
  <c r="U9" i="4"/>
  <c r="I9" i="4"/>
  <c r="F8" i="4"/>
  <c r="C10" i="4" s="1"/>
  <c r="L9" i="4"/>
  <c r="P27" i="1" l="1"/>
  <c r="AJ22" i="1" s="1"/>
  <c r="AJ24" i="1" s="1"/>
  <c r="AJ25" i="1" s="1"/>
  <c r="AT15" i="1"/>
  <c r="AU15" i="1" s="1"/>
  <c r="AV15" i="1" s="1"/>
  <c r="AT8" i="1"/>
  <c r="AU8" i="1" s="1"/>
  <c r="AV8" i="1" s="1"/>
  <c r="AT7" i="1"/>
  <c r="AU7" i="1" s="1"/>
  <c r="AV7" i="1" s="1"/>
  <c r="AT10" i="1"/>
  <c r="AU10" i="1" s="1"/>
  <c r="AV10" i="1" s="1"/>
  <c r="AT14" i="1"/>
  <c r="AU14" i="1" s="1"/>
  <c r="AV14" i="1" s="1"/>
  <c r="AT9" i="1"/>
  <c r="AU9" i="1" s="1"/>
  <c r="AV9" i="1" s="1"/>
  <c r="AT11" i="1"/>
  <c r="AU11" i="1" s="1"/>
  <c r="AV11" i="1" s="1"/>
  <c r="AT12" i="1"/>
  <c r="AU12" i="1" s="1"/>
  <c r="AV12" i="1" s="1"/>
  <c r="AT16" i="1"/>
  <c r="AU16" i="1" s="1"/>
  <c r="AV16" i="1" s="1"/>
  <c r="AT13" i="1"/>
  <c r="AU13" i="1" s="1"/>
  <c r="AV13" i="1" s="1"/>
  <c r="F17" i="1"/>
  <c r="F18" i="1" s="1"/>
  <c r="AT17" i="1"/>
  <c r="AU17" i="1" s="1"/>
  <c r="AV17" i="1" s="1"/>
  <c r="AT18" i="1"/>
  <c r="AU18" i="1" s="1"/>
  <c r="AV18" i="1" s="1"/>
  <c r="AT19" i="1"/>
  <c r="AU19" i="1" s="1"/>
  <c r="AV19" i="1" s="1"/>
  <c r="AT20" i="1"/>
  <c r="AU20" i="1" s="1"/>
  <c r="AV20" i="1" s="1"/>
  <c r="AT21" i="1"/>
  <c r="AU21" i="1" s="1"/>
  <c r="AV21" i="1" s="1"/>
  <c r="AT22" i="1"/>
  <c r="AU22" i="1" s="1"/>
  <c r="AV22" i="1" s="1"/>
  <c r="AT23" i="1"/>
  <c r="AU23" i="1" s="1"/>
  <c r="AV23" i="1" s="1"/>
  <c r="P28" i="1"/>
  <c r="AM28" i="1" l="1"/>
  <c r="AM27" i="1"/>
  <c r="AM31" i="1" s="1"/>
</calcChain>
</file>

<file path=xl/sharedStrings.xml><?xml version="1.0" encoding="utf-8"?>
<sst xmlns="http://schemas.openxmlformats.org/spreadsheetml/2006/main" count="173" uniqueCount="102">
  <si>
    <t>Ensaios no motor CC 775 HANPOSE</t>
  </si>
  <si>
    <t>Medição</t>
  </si>
  <si>
    <t>Calculo de Ra (resistência de armadura)</t>
  </si>
  <si>
    <t>Obs: As medições de corrente foram feitas com uma espira de 5 votas no alicate amperimetro</t>
  </si>
  <si>
    <t xml:space="preserve">Média = </t>
  </si>
  <si>
    <t>Calculo de Ke (constante elétrica)</t>
  </si>
  <si>
    <t>I (real) [A]</t>
  </si>
  <si>
    <t>I (5 espiras) [A]</t>
  </si>
  <si>
    <t>V [V]</t>
  </si>
  <si>
    <r>
      <t>Ra [</t>
    </r>
    <r>
      <rPr>
        <b/>
        <sz val="11"/>
        <color theme="1"/>
        <rFont val="Calibri"/>
        <family val="2"/>
      </rPr>
      <t>Ω</t>
    </r>
    <r>
      <rPr>
        <b/>
        <sz val="11"/>
        <color theme="1"/>
        <rFont val="Times New Roman"/>
        <family val="1"/>
      </rPr>
      <t>]</t>
    </r>
  </si>
  <si>
    <t>E [V]</t>
  </si>
  <si>
    <t>frequência [Hz]</t>
  </si>
  <si>
    <t>RPM</t>
  </si>
  <si>
    <t>a</t>
  </si>
  <si>
    <t>b</t>
  </si>
  <si>
    <t>Calculo de La (indutância de armadura)</t>
  </si>
  <si>
    <t>Resistêcncia de armadura:</t>
  </si>
  <si>
    <t>Constante de tempo obtida:</t>
  </si>
  <si>
    <t>La calculada:</t>
  </si>
  <si>
    <t>La =</t>
  </si>
  <si>
    <t>Ra =</t>
  </si>
  <si>
    <r>
      <rPr>
        <sz val="14"/>
        <color theme="1"/>
        <rFont val="Calibri"/>
        <family val="2"/>
      </rPr>
      <t>τ</t>
    </r>
    <r>
      <rPr>
        <sz val="14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=</t>
    </r>
  </si>
  <si>
    <t>Calculo das perdas rotacionais</t>
  </si>
  <si>
    <t>P_in [W]</t>
  </si>
  <si>
    <t>P_cu [W]</t>
  </si>
  <si>
    <t>P_rot [W]</t>
  </si>
  <si>
    <t>Calculo de Kt (constante mecanica)</t>
  </si>
  <si>
    <t>Peso [g]</t>
  </si>
  <si>
    <t>Força [N]</t>
  </si>
  <si>
    <t>Torque [Nm]</t>
  </si>
  <si>
    <t>rad/s</t>
  </si>
  <si>
    <t>Diferença</t>
  </si>
  <si>
    <t>Diferença [%]</t>
  </si>
  <si>
    <t>Ke [Vs/rad]</t>
  </si>
  <si>
    <t>Kt [Nm/A]</t>
  </si>
  <si>
    <t>Comparação entre Ke e Kt</t>
  </si>
  <si>
    <t xml:space="preserve">Máx. Corrente admitida = </t>
  </si>
  <si>
    <t xml:space="preserve">Torque máx. fabricante = </t>
  </si>
  <si>
    <t xml:space="preserve">Torque máx. calculado = </t>
  </si>
  <si>
    <t xml:space="preserve">Diferença = </t>
  </si>
  <si>
    <r>
      <rPr>
        <b/>
        <sz val="11"/>
        <color theme="1"/>
        <rFont val="Calibri"/>
        <family val="2"/>
      </rPr>
      <t>ω</t>
    </r>
    <r>
      <rPr>
        <b/>
        <sz val="9.35"/>
        <color theme="1"/>
        <rFont val="Times New Roman"/>
        <family val="1"/>
      </rPr>
      <t xml:space="preserve"> [</t>
    </r>
    <r>
      <rPr>
        <b/>
        <sz val="11"/>
        <color theme="1"/>
        <rFont val="Times New Roman"/>
        <family val="1"/>
      </rPr>
      <t>rad/s]</t>
    </r>
  </si>
  <si>
    <t>CI LM297N-8 (Linearidade real)</t>
  </si>
  <si>
    <t>Vout [V]</t>
  </si>
  <si>
    <t>f [Hz]</t>
  </si>
  <si>
    <t>indices</t>
  </si>
  <si>
    <t>Bm</t>
  </si>
  <si>
    <t>Tc</t>
  </si>
  <si>
    <t>T_perdas [Nm]</t>
  </si>
  <si>
    <t>τ_mec [ms]</t>
  </si>
  <si>
    <t>Jm [N·m·s/rad]</t>
  </si>
  <si>
    <t>I drop [mA]</t>
  </si>
  <si>
    <t>Tensão de alimentação [V]</t>
  </si>
  <si>
    <t>Tensão com zener interno [V]</t>
  </si>
  <si>
    <t>Rdrop [ohm] =</t>
  </si>
  <si>
    <t>Rdrop</t>
  </si>
  <si>
    <t>Consumo do CI</t>
  </si>
  <si>
    <t>Zener</t>
  </si>
  <si>
    <t>3,8 a 6</t>
  </si>
  <si>
    <t>3.5 a 5.6</t>
  </si>
  <si>
    <t>Corrente [mA]</t>
  </si>
  <si>
    <t>Potência do resistor [mW]</t>
  </si>
  <si>
    <t>Parâmetros desejados na saída</t>
  </si>
  <si>
    <t>Tensão máxima na saída</t>
  </si>
  <si>
    <t>Frequência máxima [kHz] =</t>
  </si>
  <si>
    <t xml:space="preserve">K = </t>
  </si>
  <si>
    <t xml:space="preserve">C1xR1 [s] = </t>
  </si>
  <si>
    <t xml:space="preserve">Vout [V] = </t>
  </si>
  <si>
    <t>R1 disponivel [ohm]=</t>
  </si>
  <si>
    <t>R1  [ohm] ~=</t>
  </si>
  <si>
    <t>C1 [F] =</t>
  </si>
  <si>
    <t>C2 [F] =</t>
  </si>
  <si>
    <t xml:space="preserve">Sensicilidade [V/kHz] = </t>
  </si>
  <si>
    <t>I2 = 140uA (pior caso)</t>
  </si>
  <si>
    <t>I2 = 180uA (tipico)</t>
  </si>
  <si>
    <t>Freqência máxima [Hz]:</t>
  </si>
  <si>
    <t>Verificação da limitação por corrente de saída:</t>
  </si>
  <si>
    <t xml:space="preserve">Vripple = </t>
  </si>
  <si>
    <t>I3 = 180uA (tipico)</t>
  </si>
  <si>
    <t>I3 = 140uA (pior caso)</t>
  </si>
  <si>
    <r>
      <t>RT [k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]</t>
    </r>
  </si>
  <si>
    <r>
      <t>Tempo [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</rPr>
      <t>s</t>
    </r>
    <r>
      <rPr>
        <sz val="11"/>
        <color theme="1"/>
        <rFont val="Calibri"/>
        <family val="2"/>
        <scheme val="minor"/>
      </rPr>
      <t>]</t>
    </r>
  </si>
  <si>
    <t>CT [µF] =</t>
  </si>
  <si>
    <t>CT [nF] =</t>
  </si>
  <si>
    <t>t/CT</t>
  </si>
  <si>
    <t>inclinação</t>
  </si>
  <si>
    <t>media</t>
  </si>
  <si>
    <t>intercessão</t>
  </si>
  <si>
    <t>CT</t>
  </si>
  <si>
    <t>1 nF</t>
  </si>
  <si>
    <t>2 nF</t>
  </si>
  <si>
    <t>5 nF</t>
  </si>
  <si>
    <t>0,01 µF</t>
  </si>
  <si>
    <t>0,02µF</t>
  </si>
  <si>
    <t>0,05 µF</t>
  </si>
  <si>
    <t>0,1 µF</t>
  </si>
  <si>
    <t>m</t>
  </si>
  <si>
    <t>média</t>
  </si>
  <si>
    <t>Frequência [Hz]</t>
  </si>
  <si>
    <t>Coeficientes</t>
  </si>
  <si>
    <t>,--&gt; corrensponde a ke</t>
  </si>
  <si>
    <t>,--&gt; próximo de 0</t>
  </si>
  <si>
    <t>,--&gt; corrensponde a 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</si>
</sst>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00\ &quot;μs&quot;"/>
    <numFmt numFmtId="165" formatCode="00.00\ &quot;μH&quot;"/>
    <numFmt numFmtId="166" formatCode="00\ &quot;A&quot;"/>
    <numFmt numFmtId="167" formatCode="0.000\ &quot;Nm&quot;"/>
    <numFmt numFmtId="168" formatCode="0.000000E+00"/>
    <numFmt numFmtId="169" formatCode="0\ &quot;V&quot;"/>
    <numFmt numFmtId="170" formatCode="0.00\ &quot;V&quot;"/>
    <numFmt numFmtId="171" formatCode="0.0"/>
    <numFmt numFmtId="172" formatCode="0.000"/>
    <numFmt numFmtId="173" formatCode="0.0000"/>
    <numFmt numFmtId="174" formatCode="0.000000000000"/>
    <numFmt numFmtId="181" formatCode="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4"/>
      <color theme="1"/>
      <name val="Times New Roman"/>
      <family val="2"/>
    </font>
    <font>
      <sz val="14"/>
      <color theme="1"/>
      <name val="Calibri"/>
      <family val="2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9.35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b/>
      <sz val="1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/>
    <xf numFmtId="169" fontId="0" fillId="4" borderId="0" xfId="0" applyNumberFormat="1" applyFill="1" applyAlignment="1">
      <alignment horizontal="center" vertical="center"/>
    </xf>
    <xf numFmtId="170" fontId="0" fillId="5" borderId="0" xfId="0" applyNumberFormat="1" applyFill="1" applyAlignment="1">
      <alignment horizontal="center" vertical="center"/>
    </xf>
    <xf numFmtId="169" fontId="0" fillId="5" borderId="0" xfId="0" applyNumberForma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1" fontId="0" fillId="4" borderId="0" xfId="0" applyNumberForma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3" fontId="1" fillId="2" borderId="1" xfId="0" applyNumberFormat="1" applyFont="1" applyFill="1" applyBorder="1" applyAlignment="1">
      <alignment horizontal="center" vertical="center"/>
    </xf>
    <xf numFmtId="17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8" fontId="1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66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167" fontId="1" fillId="3" borderId="1" xfId="0" applyNumberFormat="1" applyFont="1" applyFill="1" applyBorder="1" applyAlignment="1">
      <alignment horizontal="center" vertical="center"/>
    </xf>
    <xf numFmtId="11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10" fontId="1" fillId="3" borderId="1" xfId="1" applyNumberFormat="1" applyFont="1" applyFill="1" applyBorder="1" applyAlignment="1">
      <alignment horizontal="center" vertical="center"/>
    </xf>
    <xf numFmtId="17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181" fontId="1" fillId="3" borderId="1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172" fontId="0" fillId="3" borderId="1" xfId="0" applyNumberFormat="1" applyFill="1" applyBorder="1" applyAlignment="1">
      <alignment horizontal="center" vertical="center"/>
    </xf>
    <xf numFmtId="172" fontId="0" fillId="3" borderId="1" xfId="0" applyNumberForma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E50DAC"/>
      <color rgb="FFFE88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1.6526480701540214E-2"/>
                  <c:y val="0.189398148148148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'Ensaios Motor CC'!$Z$7:$Z$80</c:f>
              <c:numCache>
                <c:formatCode>General</c:formatCode>
                <c:ptCount val="74"/>
                <c:pt idx="0">
                  <c:v>0</c:v>
                </c:pt>
                <c:pt idx="1">
                  <c:v>1.1199999999999999</c:v>
                </c:pt>
                <c:pt idx="2">
                  <c:v>1.1400000000000001</c:v>
                </c:pt>
                <c:pt idx="3">
                  <c:v>1.2</c:v>
                </c:pt>
                <c:pt idx="4">
                  <c:v>1.6</c:v>
                </c:pt>
                <c:pt idx="5">
                  <c:v>1.7600000000000002</c:v>
                </c:pt>
                <c:pt idx="6">
                  <c:v>1.8399999999999999</c:v>
                </c:pt>
                <c:pt idx="7">
                  <c:v>2.12</c:v>
                </c:pt>
                <c:pt idx="8">
                  <c:v>2.44</c:v>
                </c:pt>
                <c:pt idx="9">
                  <c:v>2.66</c:v>
                </c:pt>
                <c:pt idx="10">
                  <c:v>2.7399999999999998</c:v>
                </c:pt>
                <c:pt idx="11">
                  <c:v>3</c:v>
                </c:pt>
                <c:pt idx="12">
                  <c:v>3.3</c:v>
                </c:pt>
                <c:pt idx="13">
                  <c:v>3.5799999999999996</c:v>
                </c:pt>
                <c:pt idx="14">
                  <c:v>4.0600000000000005</c:v>
                </c:pt>
                <c:pt idx="15">
                  <c:v>4.08</c:v>
                </c:pt>
                <c:pt idx="16">
                  <c:v>4.2200000000000006</c:v>
                </c:pt>
                <c:pt idx="17">
                  <c:v>4.3</c:v>
                </c:pt>
                <c:pt idx="18">
                  <c:v>4.4799999999999995</c:v>
                </c:pt>
                <c:pt idx="19">
                  <c:v>4.58</c:v>
                </c:pt>
                <c:pt idx="20">
                  <c:v>5.0600000000000005</c:v>
                </c:pt>
                <c:pt idx="21">
                  <c:v>5.18</c:v>
                </c:pt>
                <c:pt idx="22">
                  <c:v>5.64</c:v>
                </c:pt>
                <c:pt idx="23">
                  <c:v>5.9</c:v>
                </c:pt>
                <c:pt idx="24">
                  <c:v>5.9799999999999995</c:v>
                </c:pt>
                <c:pt idx="25">
                  <c:v>6.26</c:v>
                </c:pt>
                <c:pt idx="26">
                  <c:v>6.5400000000000009</c:v>
                </c:pt>
                <c:pt idx="27">
                  <c:v>6.76</c:v>
                </c:pt>
                <c:pt idx="28">
                  <c:v>6.8400000000000007</c:v>
                </c:pt>
                <c:pt idx="29">
                  <c:v>7.08</c:v>
                </c:pt>
                <c:pt idx="30">
                  <c:v>7.4599999999999991</c:v>
                </c:pt>
                <c:pt idx="31">
                  <c:v>7.74</c:v>
                </c:pt>
                <c:pt idx="32">
                  <c:v>8.0400000000000009</c:v>
                </c:pt>
                <c:pt idx="33">
                  <c:v>8.16</c:v>
                </c:pt>
                <c:pt idx="34">
                  <c:v>8.5</c:v>
                </c:pt>
                <c:pt idx="35">
                  <c:v>8.5400000000000009</c:v>
                </c:pt>
                <c:pt idx="36">
                  <c:v>8.7799999999999994</c:v>
                </c:pt>
                <c:pt idx="37">
                  <c:v>9.08</c:v>
                </c:pt>
                <c:pt idx="38">
                  <c:v>9.36</c:v>
                </c:pt>
                <c:pt idx="39">
                  <c:v>9.4400000000000013</c:v>
                </c:pt>
                <c:pt idx="40">
                  <c:v>10</c:v>
                </c:pt>
                <c:pt idx="41">
                  <c:v>10.220000000000001</c:v>
                </c:pt>
                <c:pt idx="42">
                  <c:v>10.26</c:v>
                </c:pt>
                <c:pt idx="43">
                  <c:v>10.58</c:v>
                </c:pt>
                <c:pt idx="44">
                  <c:v>10.959999999999999</c:v>
                </c:pt>
                <c:pt idx="45">
                  <c:v>11.14</c:v>
                </c:pt>
                <c:pt idx="46">
                  <c:v>11.5</c:v>
                </c:pt>
                <c:pt idx="47">
                  <c:v>11.6</c:v>
                </c:pt>
                <c:pt idx="48">
                  <c:v>11.82</c:v>
                </c:pt>
                <c:pt idx="49">
                  <c:v>11.879999999999999</c:v>
                </c:pt>
                <c:pt idx="50">
                  <c:v>12.26</c:v>
                </c:pt>
                <c:pt idx="51">
                  <c:v>12.34</c:v>
                </c:pt>
                <c:pt idx="52">
                  <c:v>12.76</c:v>
                </c:pt>
                <c:pt idx="53">
                  <c:v>12.8</c:v>
                </c:pt>
                <c:pt idx="54">
                  <c:v>13.040000000000001</c:v>
                </c:pt>
                <c:pt idx="55">
                  <c:v>13.219999999999999</c:v>
                </c:pt>
                <c:pt idx="56">
                  <c:v>13.580000000000002</c:v>
                </c:pt>
                <c:pt idx="57">
                  <c:v>13.680000000000001</c:v>
                </c:pt>
                <c:pt idx="58">
                  <c:v>13.940000000000001</c:v>
                </c:pt>
                <c:pt idx="59">
                  <c:v>14.559999999999999</c:v>
                </c:pt>
                <c:pt idx="60">
                  <c:v>14.64</c:v>
                </c:pt>
                <c:pt idx="61">
                  <c:v>14.7</c:v>
                </c:pt>
                <c:pt idx="62">
                  <c:v>14.8</c:v>
                </c:pt>
                <c:pt idx="63">
                  <c:v>15.1</c:v>
                </c:pt>
                <c:pt idx="64">
                  <c:v>15.36</c:v>
                </c:pt>
                <c:pt idx="65">
                  <c:v>15.419999999999998</c:v>
                </c:pt>
                <c:pt idx="66">
                  <c:v>15.919999999999998</c:v>
                </c:pt>
                <c:pt idx="67">
                  <c:v>16.16</c:v>
                </c:pt>
                <c:pt idx="68">
                  <c:v>16.259999999999998</c:v>
                </c:pt>
                <c:pt idx="69">
                  <c:v>16.3</c:v>
                </c:pt>
                <c:pt idx="70">
                  <c:v>16.82</c:v>
                </c:pt>
                <c:pt idx="71">
                  <c:v>16.919999999999998</c:v>
                </c:pt>
                <c:pt idx="72">
                  <c:v>17.399999999999999</c:v>
                </c:pt>
                <c:pt idx="73">
                  <c:v>17.48</c:v>
                </c:pt>
              </c:numCache>
            </c:numRef>
          </c:xVal>
          <c:yVal>
            <c:numRef>
              <c:f>'Ensaios Motor CC'!$AC$7:$AC$80</c:f>
              <c:numCache>
                <c:formatCode>General</c:formatCode>
                <c:ptCount val="74"/>
                <c:pt idx="0">
                  <c:v>0</c:v>
                </c:pt>
                <c:pt idx="1">
                  <c:v>6.7960084500000009E-3</c:v>
                </c:pt>
                <c:pt idx="2">
                  <c:v>9.0613446E-3</c:v>
                </c:pt>
                <c:pt idx="3">
                  <c:v>1.132668075E-2</c:v>
                </c:pt>
                <c:pt idx="4">
                  <c:v>1.3592016900000002E-2</c:v>
                </c:pt>
                <c:pt idx="5">
                  <c:v>1.5857353049999998E-2</c:v>
                </c:pt>
                <c:pt idx="6">
                  <c:v>1.81226892E-2</c:v>
                </c:pt>
                <c:pt idx="7">
                  <c:v>2.0388025350000002E-2</c:v>
                </c:pt>
                <c:pt idx="8">
                  <c:v>2.26533615E-2</c:v>
                </c:pt>
                <c:pt idx="9">
                  <c:v>2.4918697650000002E-2</c:v>
                </c:pt>
                <c:pt idx="10">
                  <c:v>2.7184033800000004E-2</c:v>
                </c:pt>
                <c:pt idx="11">
                  <c:v>2.9449369950000005E-2</c:v>
                </c:pt>
                <c:pt idx="12">
                  <c:v>3.1714706099999997E-2</c:v>
                </c:pt>
                <c:pt idx="13">
                  <c:v>3.3980042250000002E-2</c:v>
                </c:pt>
                <c:pt idx="14">
                  <c:v>3.62453784E-2</c:v>
                </c:pt>
                <c:pt idx="15">
                  <c:v>3.8510714549999998E-2</c:v>
                </c:pt>
                <c:pt idx="16">
                  <c:v>4.0776050700000004E-2</c:v>
                </c:pt>
                <c:pt idx="17">
                  <c:v>4.3041386850000009E-2</c:v>
                </c:pt>
                <c:pt idx="18">
                  <c:v>4.5306723E-2</c:v>
                </c:pt>
                <c:pt idx="19">
                  <c:v>4.7572059149999998E-2</c:v>
                </c:pt>
                <c:pt idx="20">
                  <c:v>4.9837395300000004E-2</c:v>
                </c:pt>
                <c:pt idx="21">
                  <c:v>5.2102731449999995E-2</c:v>
                </c:pt>
                <c:pt idx="22">
                  <c:v>5.4368067600000007E-2</c:v>
                </c:pt>
                <c:pt idx="23">
                  <c:v>5.6633403750000005E-2</c:v>
                </c:pt>
                <c:pt idx="24">
                  <c:v>5.8898739900000011E-2</c:v>
                </c:pt>
                <c:pt idx="25">
                  <c:v>6.1164076050000002E-2</c:v>
                </c:pt>
                <c:pt idx="26">
                  <c:v>6.3429412199999993E-2</c:v>
                </c:pt>
                <c:pt idx="27">
                  <c:v>6.5694748350000012E-2</c:v>
                </c:pt>
                <c:pt idx="28">
                  <c:v>6.7960084500000004E-2</c:v>
                </c:pt>
                <c:pt idx="29">
                  <c:v>7.0225420649999995E-2</c:v>
                </c:pt>
                <c:pt idx="30">
                  <c:v>7.24907568E-2</c:v>
                </c:pt>
                <c:pt idx="31">
                  <c:v>7.4756092950000005E-2</c:v>
                </c:pt>
                <c:pt idx="32">
                  <c:v>7.7021429099999997E-2</c:v>
                </c:pt>
                <c:pt idx="33">
                  <c:v>7.9286765250000002E-2</c:v>
                </c:pt>
                <c:pt idx="34">
                  <c:v>8.1552101400000007E-2</c:v>
                </c:pt>
                <c:pt idx="35">
                  <c:v>8.3817437549999999E-2</c:v>
                </c:pt>
                <c:pt idx="36">
                  <c:v>8.6082773700000018E-2</c:v>
                </c:pt>
                <c:pt idx="37">
                  <c:v>8.8348109850000009E-2</c:v>
                </c:pt>
                <c:pt idx="38">
                  <c:v>9.0613446E-2</c:v>
                </c:pt>
                <c:pt idx="39">
                  <c:v>9.2878782149999992E-2</c:v>
                </c:pt>
                <c:pt idx="40">
                  <c:v>9.5144118299999997E-2</c:v>
                </c:pt>
                <c:pt idx="41">
                  <c:v>9.7409454449999988E-2</c:v>
                </c:pt>
                <c:pt idx="42">
                  <c:v>9.9674790600000007E-2</c:v>
                </c:pt>
                <c:pt idx="43">
                  <c:v>0.10194012675</c:v>
                </c:pt>
                <c:pt idx="44">
                  <c:v>0.10420546289999999</c:v>
                </c:pt>
                <c:pt idx="45">
                  <c:v>0.10647079905</c:v>
                </c:pt>
                <c:pt idx="46">
                  <c:v>0.10873613520000001</c:v>
                </c:pt>
                <c:pt idx="47">
                  <c:v>0.11100147135000001</c:v>
                </c:pt>
                <c:pt idx="48">
                  <c:v>0.11326680750000001</c:v>
                </c:pt>
                <c:pt idx="49">
                  <c:v>0.11553214365</c:v>
                </c:pt>
                <c:pt idx="50">
                  <c:v>0.11779747980000002</c:v>
                </c:pt>
                <c:pt idx="51">
                  <c:v>0.12006281594999998</c:v>
                </c:pt>
                <c:pt idx="52">
                  <c:v>0.1223281521</c:v>
                </c:pt>
                <c:pt idx="53">
                  <c:v>0.12459348825000001</c:v>
                </c:pt>
                <c:pt idx="54">
                  <c:v>0.12685882439999999</c:v>
                </c:pt>
                <c:pt idx="55">
                  <c:v>0.12912416055000001</c:v>
                </c:pt>
                <c:pt idx="56">
                  <c:v>0.13138949670000002</c:v>
                </c:pt>
                <c:pt idx="57">
                  <c:v>0.13365483284999999</c:v>
                </c:pt>
                <c:pt idx="58">
                  <c:v>0.13592016900000001</c:v>
                </c:pt>
                <c:pt idx="59">
                  <c:v>0.13818550515000003</c:v>
                </c:pt>
                <c:pt idx="60">
                  <c:v>0.14045084129999999</c:v>
                </c:pt>
                <c:pt idx="61">
                  <c:v>0.14271617745000001</c:v>
                </c:pt>
                <c:pt idx="62">
                  <c:v>0.1449815136</c:v>
                </c:pt>
                <c:pt idx="63">
                  <c:v>0.14724684974999999</c:v>
                </c:pt>
                <c:pt idx="64">
                  <c:v>0.14951218590000001</c:v>
                </c:pt>
                <c:pt idx="65">
                  <c:v>0.15177752205</c:v>
                </c:pt>
                <c:pt idx="66">
                  <c:v>0.15404285819999999</c:v>
                </c:pt>
                <c:pt idx="67">
                  <c:v>0.15630819434999998</c:v>
                </c:pt>
                <c:pt idx="68">
                  <c:v>0.1585735305</c:v>
                </c:pt>
                <c:pt idx="69">
                  <c:v>0.16083886665000002</c:v>
                </c:pt>
                <c:pt idx="70">
                  <c:v>0.16310420280000001</c:v>
                </c:pt>
                <c:pt idx="71">
                  <c:v>0.16536953895000003</c:v>
                </c:pt>
                <c:pt idx="72">
                  <c:v>0.1676348751</c:v>
                </c:pt>
                <c:pt idx="73">
                  <c:v>0.16990021125000002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45-4776-A4BE-2DAEE31A4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04384"/>
        <c:axId val="664297328"/>
      </c:scatterChart>
      <c:valAx>
        <c:axId val="1047704384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Corrente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297328"/>
        <c:crosses val="autoZero"/>
        <c:crossBetween val="midCat"/>
      </c:valAx>
      <c:valAx>
        <c:axId val="664297328"/>
        <c:scaling>
          <c:orientation val="minMax"/>
          <c:max val="0.175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Torque</a:t>
                </a:r>
                <a:r>
                  <a:rPr lang="pt-BR" baseline="0"/>
                  <a:t> [Nm]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70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'Ensaios Motor CC'!$M$7:$M$57</c:f>
              <c:numCache>
                <c:formatCode>0.000</c:formatCode>
                <c:ptCount val="51"/>
                <c:pt idx="0" formatCode="General">
                  <c:v>0</c:v>
                </c:pt>
                <c:pt idx="1">
                  <c:v>1.365964485780842</c:v>
                </c:pt>
                <c:pt idx="2">
                  <c:v>1.4331945685676635</c:v>
                </c:pt>
                <c:pt idx="3">
                  <c:v>1.941504259918492</c:v>
                </c:pt>
                <c:pt idx="4">
                  <c:v>2.2537785696853172</c:v>
                </c:pt>
                <c:pt idx="5">
                  <c:v>2.6898316300035807</c:v>
                </c:pt>
                <c:pt idx="6">
                  <c:v>2.9009466563248152</c:v>
                </c:pt>
                <c:pt idx="7">
                  <c:v>3.8974598460434966</c:v>
                </c:pt>
                <c:pt idx="8">
                  <c:v>6.0299729393002481</c:v>
                </c:pt>
                <c:pt idx="9">
                  <c:v>6.8109728729826715</c:v>
                </c:pt>
                <c:pt idx="10">
                  <c:v>8.7713266888227004</c:v>
                </c:pt>
                <c:pt idx="11">
                  <c:v>9.8017690792001542</c:v>
                </c:pt>
                <c:pt idx="12">
                  <c:v>13.18840595976995</c:v>
                </c:pt>
                <c:pt idx="13">
                  <c:v>14.514158059584844</c:v>
                </c:pt>
                <c:pt idx="14">
                  <c:v>17.335308262508477</c:v>
                </c:pt>
                <c:pt idx="15">
                  <c:v>19.634954084936208</c:v>
                </c:pt>
                <c:pt idx="16">
                  <c:v>21.488493750554184</c:v>
                </c:pt>
                <c:pt idx="17">
                  <c:v>22.600617549924969</c:v>
                </c:pt>
                <c:pt idx="18">
                  <c:v>24.692918257215769</c:v>
                </c:pt>
                <c:pt idx="19">
                  <c:v>25.170440340561424</c:v>
                </c:pt>
                <c:pt idx="20">
                  <c:v>26.483626069761954</c:v>
                </c:pt>
                <c:pt idx="21">
                  <c:v>26.753803037970677</c:v>
                </c:pt>
                <c:pt idx="22">
                  <c:v>28.663891371353269</c:v>
                </c:pt>
                <c:pt idx="23">
                  <c:v>29.059732045705584</c:v>
                </c:pt>
                <c:pt idx="24">
                  <c:v>29.141413454698917</c:v>
                </c:pt>
                <c:pt idx="25">
                  <c:v>30.950970823166642</c:v>
                </c:pt>
                <c:pt idx="26">
                  <c:v>31.10176727053895</c:v>
                </c:pt>
                <c:pt idx="27">
                  <c:v>31.13318319707485</c:v>
                </c:pt>
                <c:pt idx="28">
                  <c:v>35.537696097407739</c:v>
                </c:pt>
                <c:pt idx="29">
                  <c:v>39.967341738969345</c:v>
                </c:pt>
                <c:pt idx="30">
                  <c:v>40.438580637007817</c:v>
                </c:pt>
                <c:pt idx="31">
                  <c:v>46.193978378384315</c:v>
                </c:pt>
                <c:pt idx="32">
                  <c:v>46.40132349352124</c:v>
                </c:pt>
                <c:pt idx="33">
                  <c:v>49.781677188783853</c:v>
                </c:pt>
                <c:pt idx="34">
                  <c:v>49.863358597777193</c:v>
                </c:pt>
                <c:pt idx="35">
                  <c:v>55.015570549664453</c:v>
                </c:pt>
                <c:pt idx="36">
                  <c:v>63.460171602513817</c:v>
                </c:pt>
                <c:pt idx="37">
                  <c:v>64.716808663949735</c:v>
                </c:pt>
                <c:pt idx="38">
                  <c:v>65.345127194667697</c:v>
                </c:pt>
                <c:pt idx="39">
                  <c:v>67.230082786821569</c:v>
                </c:pt>
                <c:pt idx="40">
                  <c:v>72.256631032565238</c:v>
                </c:pt>
                <c:pt idx="41">
                  <c:v>77.911497809026869</c:v>
                </c:pt>
                <c:pt idx="42">
                  <c:v>78.539816339744831</c:v>
                </c:pt>
                <c:pt idx="43">
                  <c:v>82.309727524052576</c:v>
                </c:pt>
                <c:pt idx="44">
                  <c:v>101.15928344559133</c:v>
                </c:pt>
                <c:pt idx="45">
                  <c:v>103.67255756846316</c:v>
                </c:pt>
                <c:pt idx="46">
                  <c:v>107.44246875277092</c:v>
                </c:pt>
                <c:pt idx="47">
                  <c:v>109.95574287564276</c:v>
                </c:pt>
                <c:pt idx="48">
                  <c:v>116.23892818282233</c:v>
                </c:pt>
                <c:pt idx="49">
                  <c:v>121.89379495928397</c:v>
                </c:pt>
                <c:pt idx="50">
                  <c:v>138.85839528866885</c:v>
                </c:pt>
              </c:numCache>
            </c:numRef>
          </c:xVal>
          <c:yVal>
            <c:numRef>
              <c:f>'Ensaios Motor CC'!$J$7:$J$57</c:f>
              <c:numCache>
                <c:formatCode>0.0000</c:formatCode>
                <c:ptCount val="51"/>
                <c:pt idx="0" formatCode="General">
                  <c:v>0</c:v>
                </c:pt>
                <c:pt idx="1">
                  <c:v>1.3100000000000001E-2</c:v>
                </c:pt>
                <c:pt idx="2">
                  <c:v>1.3899999999999999E-2</c:v>
                </c:pt>
                <c:pt idx="3">
                  <c:v>1.8499999999999999E-2</c:v>
                </c:pt>
                <c:pt idx="4">
                  <c:v>2.1299999999999999E-2</c:v>
                </c:pt>
                <c:pt idx="5">
                  <c:v>2.58E-2</c:v>
                </c:pt>
                <c:pt idx="6">
                  <c:v>2.7099999999999999E-2</c:v>
                </c:pt>
                <c:pt idx="7">
                  <c:v>3.7199999999999997E-2</c:v>
                </c:pt>
                <c:pt idx="8">
                  <c:v>5.7799999999999997E-2</c:v>
                </c:pt>
                <c:pt idx="9">
                  <c:v>6.54E-2</c:v>
                </c:pt>
                <c:pt idx="10">
                  <c:v>8.3799999999999999E-2</c:v>
                </c:pt>
                <c:pt idx="11">
                  <c:v>9.3600000000000003E-2</c:v>
                </c:pt>
                <c:pt idx="12">
                  <c:v>0.12640000000000001</c:v>
                </c:pt>
                <c:pt idx="13">
                  <c:v>0.1399</c:v>
                </c:pt>
                <c:pt idx="14">
                  <c:v>0.16420000000000001</c:v>
                </c:pt>
                <c:pt idx="15">
                  <c:v>0.1865</c:v>
                </c:pt>
                <c:pt idx="16">
                  <c:v>0.19739999999999999</c:v>
                </c:pt>
                <c:pt idx="17">
                  <c:v>0.21759999999999999</c:v>
                </c:pt>
                <c:pt idx="18">
                  <c:v>0.23730000000000001</c:v>
                </c:pt>
                <c:pt idx="19">
                  <c:v>0.23730000000000001</c:v>
                </c:pt>
                <c:pt idx="20">
                  <c:v>0.25140000000000001</c:v>
                </c:pt>
                <c:pt idx="21">
                  <c:v>0.25969999999999999</c:v>
                </c:pt>
                <c:pt idx="22">
                  <c:v>0.27489999999999998</c:v>
                </c:pt>
                <c:pt idx="23">
                  <c:v>0.27500000000000002</c:v>
                </c:pt>
                <c:pt idx="24">
                  <c:v>0.27989999999999998</c:v>
                </c:pt>
                <c:pt idx="25">
                  <c:v>0.29709999999999998</c:v>
                </c:pt>
                <c:pt idx="26">
                  <c:v>0.29630000000000001</c:v>
                </c:pt>
                <c:pt idx="27">
                  <c:v>0.29699999999999999</c:v>
                </c:pt>
                <c:pt idx="28">
                  <c:v>0.33729999999999999</c:v>
                </c:pt>
                <c:pt idx="29">
                  <c:v>0.38479999999999998</c:v>
                </c:pt>
                <c:pt idx="30">
                  <c:v>0.38690000000000002</c:v>
                </c:pt>
                <c:pt idx="31">
                  <c:v>0.43780000000000002</c:v>
                </c:pt>
                <c:pt idx="32">
                  <c:v>0.443</c:v>
                </c:pt>
                <c:pt idx="33">
                  <c:v>0.47699999999999998</c:v>
                </c:pt>
                <c:pt idx="34">
                  <c:v>0.47499999999999998</c:v>
                </c:pt>
                <c:pt idx="35">
                  <c:v>0.52410000000000001</c:v>
                </c:pt>
                <c:pt idx="36">
                  <c:v>0.60599999999999998</c:v>
                </c:pt>
                <c:pt idx="37">
                  <c:v>0.61699999999999999</c:v>
                </c:pt>
                <c:pt idx="38">
                  <c:v>0.61899999999999999</c:v>
                </c:pt>
                <c:pt idx="39">
                  <c:v>0.625</c:v>
                </c:pt>
                <c:pt idx="40">
                  <c:v>0.68200000000000005</c:v>
                </c:pt>
                <c:pt idx="41">
                  <c:v>0.751</c:v>
                </c:pt>
                <c:pt idx="42">
                  <c:v>0.752</c:v>
                </c:pt>
                <c:pt idx="43">
                  <c:v>0.79200000000000004</c:v>
                </c:pt>
                <c:pt idx="44">
                  <c:v>0.97099999999999997</c:v>
                </c:pt>
                <c:pt idx="45">
                  <c:v>0.97399999999999998</c:v>
                </c:pt>
                <c:pt idx="46">
                  <c:v>1.036</c:v>
                </c:pt>
                <c:pt idx="47">
                  <c:v>1.0389999999999999</c:v>
                </c:pt>
                <c:pt idx="48">
                  <c:v>1.107</c:v>
                </c:pt>
                <c:pt idx="49">
                  <c:v>1.1559999999999999</c:v>
                </c:pt>
                <c:pt idx="50">
                  <c:v>1.331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D0-4613-8F84-99F7C948F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04384"/>
        <c:axId val="664297328"/>
      </c:scatterChart>
      <c:valAx>
        <c:axId val="1047704384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Velocidade angular [rad/s]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297328"/>
        <c:crosses val="autoZero"/>
        <c:crossBetween val="midCat"/>
        <c:majorUnit val="10"/>
      </c:valAx>
      <c:valAx>
        <c:axId val="6642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Força</a:t>
                </a:r>
                <a:r>
                  <a:rPr lang="pt-BR" baseline="0">
                    <a:solidFill>
                      <a:schemeClr val="tx1"/>
                    </a:solidFill>
                  </a:rPr>
                  <a:t> contraeletromotriz</a:t>
                </a:r>
                <a:r>
                  <a:rPr lang="pt-BR">
                    <a:solidFill>
                      <a:schemeClr val="tx1"/>
                    </a:solidFill>
                  </a:rPr>
                  <a:t>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704384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'Ensaios Motor CC'!$AR$7:$AR$23</c:f>
              <c:numCache>
                <c:formatCode>General</c:formatCode>
                <c:ptCount val="17"/>
                <c:pt idx="0">
                  <c:v>142.75397017912022</c:v>
                </c:pt>
                <c:pt idx="1">
                  <c:v>196.34954084936209</c:v>
                </c:pt>
                <c:pt idx="2">
                  <c:v>253.33803158548091</c:v>
                </c:pt>
                <c:pt idx="3">
                  <c:v>308.0017437579433</c:v>
                </c:pt>
                <c:pt idx="4">
                  <c:v>369.5769597683032</c:v>
                </c:pt>
                <c:pt idx="5">
                  <c:v>413.37076135934495</c:v>
                </c:pt>
                <c:pt idx="6">
                  <c:v>468.91411947481254</c:v>
                </c:pt>
                <c:pt idx="7">
                  <c:v>523.57783164727493</c:v>
                </c:pt>
                <c:pt idx="8">
                  <c:v>571.20437627569618</c:v>
                </c:pt>
                <c:pt idx="9">
                  <c:v>628.31853071795865</c:v>
                </c:pt>
                <c:pt idx="10">
                  <c:v>682.98224289042105</c:v>
                </c:pt>
                <c:pt idx="11">
                  <c:v>730.60878751884229</c:v>
                </c:pt>
                <c:pt idx="12">
                  <c:v>802.80258669833563</c:v>
                </c:pt>
                <c:pt idx="13">
                  <c:v>845.96806975865945</c:v>
                </c:pt>
                <c:pt idx="14">
                  <c:v>914.83178072534781</c:v>
                </c:pt>
                <c:pt idx="15">
                  <c:v>951.96540589077915</c:v>
                </c:pt>
                <c:pt idx="16">
                  <c:v>981.74770424681037</c:v>
                </c:pt>
              </c:numCache>
            </c:numRef>
          </c:xVal>
          <c:yVal>
            <c:numRef>
              <c:f>'Ensaios Motor CC'!$AV$7:$AV$23</c:f>
              <c:numCache>
                <c:formatCode>General</c:formatCode>
                <c:ptCount val="17"/>
                <c:pt idx="0">
                  <c:v>7.3814808394899508E-3</c:v>
                </c:pt>
                <c:pt idx="1">
                  <c:v>7.7224464547865357E-3</c:v>
                </c:pt>
                <c:pt idx="2">
                  <c:v>7.8818097022365138E-3</c:v>
                </c:pt>
                <c:pt idx="3">
                  <c:v>8.0392222734263497E-3</c:v>
                </c:pt>
                <c:pt idx="4">
                  <c:v>8.1139582047627789E-3</c:v>
                </c:pt>
                <c:pt idx="5">
                  <c:v>8.5538630220141961E-3</c:v>
                </c:pt>
                <c:pt idx="6">
                  <c:v>8.7069800426427986E-3</c:v>
                </c:pt>
                <c:pt idx="7">
                  <c:v>9.0012869758474695E-3</c:v>
                </c:pt>
                <c:pt idx="8">
                  <c:v>9.3131773243198251E-3</c:v>
                </c:pt>
                <c:pt idx="9">
                  <c:v>9.4523903336047443E-3</c:v>
                </c:pt>
                <c:pt idx="10">
                  <c:v>9.6626058889761335E-3</c:v>
                </c:pt>
                <c:pt idx="11">
                  <c:v>9.9117601278717396E-3</c:v>
                </c:pt>
                <c:pt idx="12">
                  <c:v>1.0244195738024152E-2</c:v>
                </c:pt>
                <c:pt idx="13">
                  <c:v>1.0618509831528167E-2</c:v>
                </c:pt>
                <c:pt idx="14">
                  <c:v>1.0736014933441715E-2</c:v>
                </c:pt>
                <c:pt idx="15">
                  <c:v>1.0986583750559498E-2</c:v>
                </c:pt>
                <c:pt idx="16">
                  <c:v>1.1182147523203722E-2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torque_perdas_velocidadeangular</c:v>
                </c15:tx>
              </c15:filteredSeriesTitle>
            </c:ext>
            <c:ext xmlns:c16="http://schemas.microsoft.com/office/drawing/2014/chart" uri="{C3380CC4-5D6E-409C-BE32-E72D297353CC}">
              <c16:uniqueId val="{00000000-39E6-463D-A931-B060F21DD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04656"/>
        <c:axId val="1081845664"/>
      </c:scatterChart>
      <c:valAx>
        <c:axId val="1230604656"/>
        <c:scaling>
          <c:orientation val="minMax"/>
          <c:max val="100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chemeClr val="tx1"/>
                    </a:solidFill>
                  </a:rPr>
                  <a:t>ω [</a:t>
                </a:r>
                <a:r>
                  <a:rPr lang="pt-BR">
                    <a:solidFill>
                      <a:schemeClr val="tx1"/>
                    </a:solidFill>
                  </a:rPr>
                  <a:t>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1845664"/>
        <c:crosses val="autoZero"/>
        <c:crossBetween val="midCat"/>
        <c:majorUnit val="50"/>
      </c:valAx>
      <c:valAx>
        <c:axId val="1081845664"/>
        <c:scaling>
          <c:orientation val="minMax"/>
          <c:max val="1.1250000000000003E-2"/>
          <c:min val="7.250000000000001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T</a:t>
                </a:r>
                <a:r>
                  <a:rPr lang="el-GR">
                    <a:solidFill>
                      <a:schemeClr val="tx1"/>
                    </a:solidFill>
                  </a:rPr>
                  <a:t>_</a:t>
                </a:r>
                <a:r>
                  <a:rPr lang="pt-BR">
                    <a:solidFill>
                      <a:schemeClr val="tx1"/>
                    </a:solidFill>
                  </a:rPr>
                  <a:t>perdas [Nm]</a:t>
                </a:r>
              </a:p>
            </c:rich>
          </c:tx>
          <c:layout>
            <c:manualLayout>
              <c:xMode val="edge"/>
              <c:yMode val="edge"/>
              <c:x val="1.8020461433273311E-2"/>
              <c:y val="0.30279315939618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0604656"/>
        <c:crosses val="autoZero"/>
        <c:crossBetween val="midCat"/>
        <c:majorUnit val="2.5000000000000011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frequenciaxtensao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6350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>
                    <a:lumMod val="95000"/>
                    <a:lumOff val="5000"/>
                    <a:alpha val="99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('LM2917M-8'!$R$7:$R$21,'LM2917M-8'!$U$7:$U$21,'LM2917M-8'!$X$7:$X$21)</c:f>
              <c:numCache>
                <c:formatCode>General</c:formatCode>
                <c:ptCount val="45"/>
                <c:pt idx="0">
                  <c:v>200</c:v>
                </c:pt>
                <c:pt idx="1">
                  <c:v>600</c:v>
                </c:pt>
                <c:pt idx="2">
                  <c:v>1000</c:v>
                </c:pt>
                <c:pt idx="3">
                  <c:v>1400</c:v>
                </c:pt>
                <c:pt idx="4">
                  <c:v>1800</c:v>
                </c:pt>
                <c:pt idx="5">
                  <c:v>2200</c:v>
                </c:pt>
                <c:pt idx="6">
                  <c:v>2600</c:v>
                </c:pt>
                <c:pt idx="7">
                  <c:v>3000</c:v>
                </c:pt>
                <c:pt idx="8">
                  <c:v>3400</c:v>
                </c:pt>
                <c:pt idx="9">
                  <c:v>3800</c:v>
                </c:pt>
                <c:pt idx="10">
                  <c:v>4200</c:v>
                </c:pt>
                <c:pt idx="11">
                  <c:v>4600</c:v>
                </c:pt>
                <c:pt idx="12">
                  <c:v>5000</c:v>
                </c:pt>
                <c:pt idx="13">
                  <c:v>5400</c:v>
                </c:pt>
                <c:pt idx="14">
                  <c:v>5800</c:v>
                </c:pt>
                <c:pt idx="15">
                  <c:v>6200</c:v>
                </c:pt>
                <c:pt idx="16">
                  <c:v>6600</c:v>
                </c:pt>
                <c:pt idx="17">
                  <c:v>7000</c:v>
                </c:pt>
                <c:pt idx="18">
                  <c:v>7400</c:v>
                </c:pt>
                <c:pt idx="19">
                  <c:v>7800</c:v>
                </c:pt>
                <c:pt idx="20">
                  <c:v>8200</c:v>
                </c:pt>
                <c:pt idx="21">
                  <c:v>8600</c:v>
                </c:pt>
                <c:pt idx="22">
                  <c:v>9000</c:v>
                </c:pt>
                <c:pt idx="23">
                  <c:v>9400</c:v>
                </c:pt>
                <c:pt idx="24">
                  <c:v>10000</c:v>
                </c:pt>
                <c:pt idx="25">
                  <c:v>10500</c:v>
                </c:pt>
                <c:pt idx="26">
                  <c:v>11000</c:v>
                </c:pt>
                <c:pt idx="27">
                  <c:v>11500</c:v>
                </c:pt>
                <c:pt idx="28">
                  <c:v>12000</c:v>
                </c:pt>
                <c:pt idx="29">
                  <c:v>12500</c:v>
                </c:pt>
                <c:pt idx="30">
                  <c:v>13000</c:v>
                </c:pt>
                <c:pt idx="31">
                  <c:v>13500</c:v>
                </c:pt>
                <c:pt idx="32">
                  <c:v>14000</c:v>
                </c:pt>
                <c:pt idx="33">
                  <c:v>14500</c:v>
                </c:pt>
                <c:pt idx="34">
                  <c:v>15000</c:v>
                </c:pt>
                <c:pt idx="35">
                  <c:v>15500</c:v>
                </c:pt>
                <c:pt idx="36">
                  <c:v>16000</c:v>
                </c:pt>
                <c:pt idx="37">
                  <c:v>16500</c:v>
                </c:pt>
                <c:pt idx="38">
                  <c:v>17000</c:v>
                </c:pt>
                <c:pt idx="39">
                  <c:v>17500</c:v>
                </c:pt>
                <c:pt idx="40">
                  <c:v>18000</c:v>
                </c:pt>
                <c:pt idx="41">
                  <c:v>18500</c:v>
                </c:pt>
                <c:pt idx="42">
                  <c:v>19000</c:v>
                </c:pt>
                <c:pt idx="43">
                  <c:v>19500</c:v>
                </c:pt>
                <c:pt idx="44">
                  <c:v>20000</c:v>
                </c:pt>
              </c:numCache>
            </c:numRef>
          </c:xVal>
          <c:yVal>
            <c:numRef>
              <c:f>('LM2917M-8'!$S$7:$S$21,'LM2917M-8'!$V$7:$V$21,'LM2917M-8'!$Y$7:$Y$21)</c:f>
              <c:numCache>
                <c:formatCode>General</c:formatCode>
                <c:ptCount val="45"/>
                <c:pt idx="0">
                  <c:v>4.6300000000000001E-2</c:v>
                </c:pt>
                <c:pt idx="1">
                  <c:v>0.13619999999999999</c:v>
                </c:pt>
                <c:pt idx="2">
                  <c:v>0.22589999999999999</c:v>
                </c:pt>
                <c:pt idx="3">
                  <c:v>0.3145</c:v>
                </c:pt>
                <c:pt idx="4">
                  <c:v>0.40360000000000001</c:v>
                </c:pt>
                <c:pt idx="5">
                  <c:v>0.4919</c:v>
                </c:pt>
                <c:pt idx="6">
                  <c:v>0.58050000000000002</c:v>
                </c:pt>
                <c:pt idx="7">
                  <c:v>0.66800000000000004</c:v>
                </c:pt>
                <c:pt idx="8">
                  <c:v>0.75600000000000001</c:v>
                </c:pt>
                <c:pt idx="9">
                  <c:v>0.84399999999999997</c:v>
                </c:pt>
                <c:pt idx="10">
                  <c:v>0.93200000000000005</c:v>
                </c:pt>
                <c:pt idx="11">
                  <c:v>1.0189999999999999</c:v>
                </c:pt>
                <c:pt idx="12">
                  <c:v>1.107</c:v>
                </c:pt>
                <c:pt idx="13">
                  <c:v>1.194</c:v>
                </c:pt>
                <c:pt idx="14">
                  <c:v>1.2809999999999999</c:v>
                </c:pt>
                <c:pt idx="15">
                  <c:v>1.3680000000000001</c:v>
                </c:pt>
                <c:pt idx="16">
                  <c:v>1.4550000000000001</c:v>
                </c:pt>
                <c:pt idx="17">
                  <c:v>1.542</c:v>
                </c:pt>
                <c:pt idx="18">
                  <c:v>1.625</c:v>
                </c:pt>
                <c:pt idx="19">
                  <c:v>1.716</c:v>
                </c:pt>
                <c:pt idx="20">
                  <c:v>1.8029999999999999</c:v>
                </c:pt>
                <c:pt idx="21">
                  <c:v>1.89</c:v>
                </c:pt>
                <c:pt idx="22">
                  <c:v>1.978</c:v>
                </c:pt>
                <c:pt idx="23">
                  <c:v>2.0649999999999999</c:v>
                </c:pt>
                <c:pt idx="24">
                  <c:v>2.1949999999999998</c:v>
                </c:pt>
                <c:pt idx="25">
                  <c:v>2.3039999999999998</c:v>
                </c:pt>
                <c:pt idx="26">
                  <c:v>2.4119999999999999</c:v>
                </c:pt>
                <c:pt idx="27">
                  <c:v>2.5209999999999999</c:v>
                </c:pt>
                <c:pt idx="28">
                  <c:v>2.629</c:v>
                </c:pt>
                <c:pt idx="29">
                  <c:v>2.7370000000000001</c:v>
                </c:pt>
                <c:pt idx="30">
                  <c:v>2.8450000000000002</c:v>
                </c:pt>
                <c:pt idx="31">
                  <c:v>2.9529999999999998</c:v>
                </c:pt>
                <c:pt idx="32">
                  <c:v>3.0619999999999998</c:v>
                </c:pt>
                <c:pt idx="33">
                  <c:v>3.17</c:v>
                </c:pt>
                <c:pt idx="34">
                  <c:v>3.2789999999999999</c:v>
                </c:pt>
                <c:pt idx="35">
                  <c:v>3.387</c:v>
                </c:pt>
                <c:pt idx="36">
                  <c:v>3.4950000000000001</c:v>
                </c:pt>
                <c:pt idx="37">
                  <c:v>3.6030000000000002</c:v>
                </c:pt>
                <c:pt idx="38">
                  <c:v>3.7120000000000002</c:v>
                </c:pt>
                <c:pt idx="39">
                  <c:v>3.819</c:v>
                </c:pt>
                <c:pt idx="40">
                  <c:v>3.927</c:v>
                </c:pt>
                <c:pt idx="41">
                  <c:v>4.0359999999999996</c:v>
                </c:pt>
                <c:pt idx="42">
                  <c:v>4.1440000000000001</c:v>
                </c:pt>
                <c:pt idx="43">
                  <c:v>4.2519999999999998</c:v>
                </c:pt>
                <c:pt idx="44">
                  <c:v>4.3369999999999997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CE-426C-9786-7AC7AB872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04384"/>
        <c:axId val="664297328"/>
      </c:scatterChart>
      <c:valAx>
        <c:axId val="1047704384"/>
        <c:scaling>
          <c:orientation val="minMax"/>
          <c:max val="2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Frequência</a:t>
                </a:r>
                <a:r>
                  <a:rPr lang="pt-BR" baseline="0">
                    <a:solidFill>
                      <a:schemeClr val="tx1"/>
                    </a:solidFill>
                  </a:rPr>
                  <a:t> [Hz]</a:t>
                </a:r>
                <a:endParaRPr lang="pt-BR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297328"/>
        <c:crosses val="autoZero"/>
        <c:crossBetween val="midCat"/>
        <c:majorUnit val="1500"/>
      </c:valAx>
      <c:valAx>
        <c:axId val="664297328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aseline="0">
                    <a:solidFill>
                      <a:schemeClr val="tx1"/>
                    </a:solidFill>
                  </a:rPr>
                  <a:t>Tensão [V]</a:t>
                </a:r>
                <a:endParaRPr lang="pt-BR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70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1nF</c:v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'SG3525'!$D$4:$D$6</c:f>
              <c:numCache>
                <c:formatCode>General</c:formatCode>
                <c:ptCount val="3"/>
                <c:pt idx="0">
                  <c:v>1.9758</c:v>
                </c:pt>
                <c:pt idx="1">
                  <c:v>18.936</c:v>
                </c:pt>
                <c:pt idx="2">
                  <c:v>151.24</c:v>
                </c:pt>
              </c:numCache>
            </c:numRef>
          </c:xVal>
          <c:yVal>
            <c:numRef>
              <c:f>'SG3525'!$C$4:$C$6</c:f>
              <c:numCache>
                <c:formatCode>General</c:formatCode>
                <c:ptCount val="3"/>
                <c:pt idx="0">
                  <c:v>2.0644999999999998</c:v>
                </c:pt>
                <c:pt idx="1">
                  <c:v>16.228000000000002</c:v>
                </c:pt>
                <c:pt idx="2">
                  <c:v>108.86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FA-40CD-99A0-8718CA69CC38}"/>
            </c:ext>
          </c:extLst>
        </c:ser>
        <c:ser>
          <c:idx val="1"/>
          <c:order val="1"/>
          <c:tx>
            <c:v>2nF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'SG3525'!$G$4:$G$6</c:f>
              <c:numCache>
                <c:formatCode>General</c:formatCode>
                <c:ptCount val="3"/>
                <c:pt idx="0">
                  <c:v>2</c:v>
                </c:pt>
                <c:pt idx="1">
                  <c:v>17.604399999999998</c:v>
                </c:pt>
                <c:pt idx="2">
                  <c:v>151.23699999999999</c:v>
                </c:pt>
              </c:numCache>
            </c:numRef>
          </c:xVal>
          <c:yVal>
            <c:numRef>
              <c:f>'SG3525'!$F$4:$F$6</c:f>
              <c:numCache>
                <c:formatCode>General</c:formatCode>
                <c:ptCount val="3"/>
                <c:pt idx="0">
                  <c:v>3.4294899999999999</c:v>
                </c:pt>
                <c:pt idx="1">
                  <c:v>29.183499999999999</c:v>
                </c:pt>
                <c:pt idx="2">
                  <c:v>244.43199999999999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FA-40CD-99A0-8718CA69CC38}"/>
            </c:ext>
          </c:extLst>
        </c:ser>
        <c:ser>
          <c:idx val="2"/>
          <c:order val="2"/>
          <c:tx>
            <c:v>5nF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'SG3525'!$J$4:$J$6</c:f>
              <c:numCache>
                <c:formatCode>General</c:formatCode>
                <c:ptCount val="3"/>
                <c:pt idx="0">
                  <c:v>2</c:v>
                </c:pt>
                <c:pt idx="1">
                  <c:v>19.167300000000001</c:v>
                </c:pt>
                <c:pt idx="2">
                  <c:v>151.23699999999999</c:v>
                </c:pt>
              </c:numCache>
            </c:numRef>
          </c:xVal>
          <c:yVal>
            <c:numRef>
              <c:f>'SG3525'!$I$4:$I$6</c:f>
              <c:numCache>
                <c:formatCode>General</c:formatCode>
                <c:ptCount val="3"/>
                <c:pt idx="0">
                  <c:v>7.8237699999999997</c:v>
                </c:pt>
                <c:pt idx="1">
                  <c:v>66.577100000000002</c:v>
                </c:pt>
                <c:pt idx="2">
                  <c:v>468.35500000000002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FA-40CD-99A0-8718CA69CC38}"/>
            </c:ext>
          </c:extLst>
        </c:ser>
        <c:ser>
          <c:idx val="3"/>
          <c:order val="3"/>
          <c:tx>
            <c:v>0,01uF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'SG3525'!$M$4:$M$6</c:f>
              <c:numCache>
                <c:formatCode>General</c:formatCode>
                <c:ptCount val="3"/>
                <c:pt idx="0">
                  <c:v>1.9758500000000001</c:v>
                </c:pt>
                <c:pt idx="1">
                  <c:v>15.973699999999999</c:v>
                </c:pt>
                <c:pt idx="2">
                  <c:v>151.23699999999999</c:v>
                </c:pt>
              </c:numCache>
            </c:numRef>
          </c:xVal>
          <c:yVal>
            <c:numRef>
              <c:f>'SG3525'!$L$4:$L$6</c:f>
              <c:numCache>
                <c:formatCode>General</c:formatCode>
                <c:ptCount val="3"/>
                <c:pt idx="0">
                  <c:v>16.228300000000001</c:v>
                </c:pt>
                <c:pt idx="1">
                  <c:v>125.56100000000001</c:v>
                </c:pt>
                <c:pt idx="2">
                  <c:v>1138.45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FA-40CD-99A0-8718CA69CC38}"/>
            </c:ext>
          </c:extLst>
        </c:ser>
        <c:ser>
          <c:idx val="4"/>
          <c:order val="4"/>
          <c:tx>
            <c:v>0,02uF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'SG3525'!$P$4:$P$6</c:f>
              <c:numCache>
                <c:formatCode>General</c:formatCode>
                <c:ptCount val="3"/>
                <c:pt idx="0">
                  <c:v>2</c:v>
                </c:pt>
                <c:pt idx="1">
                  <c:v>18.037400000000002</c:v>
                </c:pt>
                <c:pt idx="2">
                  <c:v>149.41</c:v>
                </c:pt>
              </c:numCache>
            </c:numRef>
          </c:xVal>
          <c:yVal>
            <c:numRef>
              <c:f>'SG3525'!$O$4:$O$6</c:f>
              <c:numCache>
                <c:formatCode>General</c:formatCode>
                <c:ptCount val="3"/>
                <c:pt idx="0">
                  <c:v>33.131700000000002</c:v>
                </c:pt>
                <c:pt idx="1">
                  <c:v>295.67700000000002</c:v>
                </c:pt>
                <c:pt idx="2">
                  <c:v>2437.5300000000002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FA-40CD-99A0-8718CA69CC38}"/>
            </c:ext>
          </c:extLst>
        </c:ser>
        <c:ser>
          <c:idx val="6"/>
          <c:order val="5"/>
          <c:tx>
            <c:v>0,05uF</c:v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'SG3525'!$S$4:$S$6</c:f>
              <c:numCache>
                <c:formatCode>General</c:formatCode>
                <c:ptCount val="3"/>
                <c:pt idx="0">
                  <c:v>2</c:v>
                </c:pt>
                <c:pt idx="1">
                  <c:v>19.6388</c:v>
                </c:pt>
                <c:pt idx="2">
                  <c:v>151.23699999999999</c:v>
                </c:pt>
              </c:numCache>
            </c:numRef>
          </c:xVal>
          <c:yVal>
            <c:numRef>
              <c:f>'SG3525'!$R$4:$R$6</c:f>
              <c:numCache>
                <c:formatCode>General</c:formatCode>
                <c:ptCount val="3"/>
                <c:pt idx="0">
                  <c:v>72.071899999999999</c:v>
                </c:pt>
                <c:pt idx="1">
                  <c:v>707.40599999999995</c:v>
                </c:pt>
                <c:pt idx="2">
                  <c:v>5473.28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C5-4876-9ABD-9DBDF3D9D464}"/>
            </c:ext>
          </c:extLst>
        </c:ser>
        <c:ser>
          <c:idx val="7"/>
          <c:order val="6"/>
          <c:tx>
            <c:v>0,1uF</c:v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'SG3525'!$V$4:$V$6</c:f>
              <c:numCache>
                <c:formatCode>General</c:formatCode>
                <c:ptCount val="3"/>
                <c:pt idx="0">
                  <c:v>2</c:v>
                </c:pt>
                <c:pt idx="1">
                  <c:v>15.973699999999999</c:v>
                </c:pt>
                <c:pt idx="2">
                  <c:v>151.23699999999999</c:v>
                </c:pt>
              </c:numCache>
            </c:numRef>
          </c:xVal>
          <c:yVal>
            <c:numRef>
              <c:f>'SG3525'!$U$4:$U$6</c:f>
              <c:numCache>
                <c:formatCode>General</c:formatCode>
                <c:ptCount val="3"/>
                <c:pt idx="0">
                  <c:v>154.31200000000001</c:v>
                </c:pt>
                <c:pt idx="1">
                  <c:v>1156.6500000000001</c:v>
                </c:pt>
                <c:pt idx="2">
                  <c:v>10159.9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C5-4876-9ABD-9DBDF3D9D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903568"/>
        <c:axId val="1201900208"/>
      </c:scatterChart>
      <c:valAx>
        <c:axId val="1201903568"/>
        <c:scaling>
          <c:logBase val="10"/>
          <c:orientation val="minMax"/>
          <c:max val="20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00208"/>
        <c:crosses val="autoZero"/>
        <c:crossBetween val="midCat"/>
      </c:valAx>
      <c:valAx>
        <c:axId val="1201900208"/>
        <c:scaling>
          <c:logBase val="10"/>
          <c:orientation val="minMax"/>
          <c:max val="15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03568"/>
        <c:crossesAt val="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1nF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'SG3525'!$D$4:$D$6</c:f>
              <c:numCache>
                <c:formatCode>General</c:formatCode>
                <c:ptCount val="3"/>
                <c:pt idx="0">
                  <c:v>1.9758</c:v>
                </c:pt>
                <c:pt idx="1">
                  <c:v>18.936</c:v>
                </c:pt>
                <c:pt idx="2">
                  <c:v>151.24</c:v>
                </c:pt>
              </c:numCache>
            </c:numRef>
          </c:xVal>
          <c:yVal>
            <c:numRef>
              <c:f>'SG3525'!$E$4:$E$6</c:f>
              <c:numCache>
                <c:formatCode>General</c:formatCode>
                <c:ptCount val="3"/>
                <c:pt idx="0">
                  <c:v>2064.4999999999995</c:v>
                </c:pt>
                <c:pt idx="1">
                  <c:v>16228</c:v>
                </c:pt>
                <c:pt idx="2">
                  <c:v>108859.99999999999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F-42EC-AE39-856360394C5E}"/>
            </c:ext>
          </c:extLst>
        </c:ser>
        <c:ser>
          <c:idx val="1"/>
          <c:order val="1"/>
          <c:tx>
            <c:v>2nF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'SG3525'!$G$4:$G$6</c:f>
              <c:numCache>
                <c:formatCode>General</c:formatCode>
                <c:ptCount val="3"/>
                <c:pt idx="0">
                  <c:v>2</c:v>
                </c:pt>
                <c:pt idx="1">
                  <c:v>17.604399999999998</c:v>
                </c:pt>
                <c:pt idx="2">
                  <c:v>151.23699999999999</c:v>
                </c:pt>
              </c:numCache>
            </c:numRef>
          </c:xVal>
          <c:yVal>
            <c:numRef>
              <c:f>'SG3525'!$H$4:$H$6</c:f>
              <c:numCache>
                <c:formatCode>General</c:formatCode>
                <c:ptCount val="3"/>
                <c:pt idx="0">
                  <c:v>1714.7449999999997</c:v>
                </c:pt>
                <c:pt idx="1">
                  <c:v>14591.749999999996</c:v>
                </c:pt>
                <c:pt idx="2">
                  <c:v>122215.99999999999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BF-42EC-AE39-856360394C5E}"/>
            </c:ext>
          </c:extLst>
        </c:ser>
        <c:ser>
          <c:idx val="2"/>
          <c:order val="2"/>
          <c:tx>
            <c:v>5nF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'SG3525'!$J$4:$J$6</c:f>
              <c:numCache>
                <c:formatCode>General</c:formatCode>
                <c:ptCount val="3"/>
                <c:pt idx="0">
                  <c:v>2</c:v>
                </c:pt>
                <c:pt idx="1">
                  <c:v>19.167300000000001</c:v>
                </c:pt>
                <c:pt idx="2">
                  <c:v>151.23699999999999</c:v>
                </c:pt>
              </c:numCache>
            </c:numRef>
          </c:xVal>
          <c:yVal>
            <c:numRef>
              <c:f>'SG3525'!$K$4:$K$6</c:f>
              <c:numCache>
                <c:formatCode>General</c:formatCode>
                <c:ptCount val="3"/>
                <c:pt idx="0">
                  <c:v>1564.7539999999999</c:v>
                </c:pt>
                <c:pt idx="1">
                  <c:v>13315.42</c:v>
                </c:pt>
                <c:pt idx="2">
                  <c:v>93671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BF-42EC-AE39-856360394C5E}"/>
            </c:ext>
          </c:extLst>
        </c:ser>
        <c:ser>
          <c:idx val="3"/>
          <c:order val="3"/>
          <c:tx>
            <c:v>0,01uF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'SG3525'!$M$4:$M$6</c:f>
              <c:numCache>
                <c:formatCode>General</c:formatCode>
                <c:ptCount val="3"/>
                <c:pt idx="0">
                  <c:v>1.9758500000000001</c:v>
                </c:pt>
                <c:pt idx="1">
                  <c:v>15.973699999999999</c:v>
                </c:pt>
                <c:pt idx="2">
                  <c:v>151.23699999999999</c:v>
                </c:pt>
              </c:numCache>
            </c:numRef>
          </c:xVal>
          <c:yVal>
            <c:numRef>
              <c:f>'SG3525'!$N$4:$N$6</c:f>
              <c:numCache>
                <c:formatCode>General</c:formatCode>
                <c:ptCount val="3"/>
                <c:pt idx="0">
                  <c:v>1622.8299999999997</c:v>
                </c:pt>
                <c:pt idx="1">
                  <c:v>12556.1</c:v>
                </c:pt>
                <c:pt idx="2">
                  <c:v>113845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BF-42EC-AE39-856360394C5E}"/>
            </c:ext>
          </c:extLst>
        </c:ser>
        <c:ser>
          <c:idx val="4"/>
          <c:order val="4"/>
          <c:tx>
            <c:v>0,02uF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'SG3525'!$P$4:$P$6</c:f>
              <c:numCache>
                <c:formatCode>General</c:formatCode>
                <c:ptCount val="3"/>
                <c:pt idx="0">
                  <c:v>2</c:v>
                </c:pt>
                <c:pt idx="1">
                  <c:v>18.037400000000002</c:v>
                </c:pt>
                <c:pt idx="2">
                  <c:v>149.41</c:v>
                </c:pt>
              </c:numCache>
            </c:numRef>
          </c:xVal>
          <c:yVal>
            <c:numRef>
              <c:f>'SG3525'!$Q$4:$Q$6</c:f>
              <c:numCache>
                <c:formatCode>General</c:formatCode>
                <c:ptCount val="3"/>
                <c:pt idx="0">
                  <c:v>1656.585</c:v>
                </c:pt>
                <c:pt idx="1">
                  <c:v>14783.849999999999</c:v>
                </c:pt>
                <c:pt idx="2">
                  <c:v>121876.50000000001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BF-42EC-AE39-856360394C5E}"/>
            </c:ext>
          </c:extLst>
        </c:ser>
        <c:ser>
          <c:idx val="6"/>
          <c:order val="5"/>
          <c:tx>
            <c:v>0,05uF</c:v>
          </c:tx>
          <c:spPr>
            <a:ln w="19050" cap="rnd">
              <a:solidFill>
                <a:srgbClr val="E50DAC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'SG3525'!$S$4:$S$6</c:f>
              <c:numCache>
                <c:formatCode>General</c:formatCode>
                <c:ptCount val="3"/>
                <c:pt idx="0">
                  <c:v>2</c:v>
                </c:pt>
                <c:pt idx="1">
                  <c:v>19.6388</c:v>
                </c:pt>
                <c:pt idx="2">
                  <c:v>151.23699999999999</c:v>
                </c:pt>
              </c:numCache>
            </c:numRef>
          </c:xVal>
          <c:yVal>
            <c:numRef>
              <c:f>'SG3525'!$T$4:$T$6</c:f>
              <c:numCache>
                <c:formatCode>General</c:formatCode>
                <c:ptCount val="3"/>
                <c:pt idx="0">
                  <c:v>1441.4379999999999</c:v>
                </c:pt>
                <c:pt idx="1">
                  <c:v>14148.119999999999</c:v>
                </c:pt>
                <c:pt idx="2">
                  <c:v>109465.59999999999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BF-42EC-AE39-856360394C5E}"/>
            </c:ext>
          </c:extLst>
        </c:ser>
        <c:ser>
          <c:idx val="7"/>
          <c:order val="6"/>
          <c:tx>
            <c:v>0,1uF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'SG3525'!$V$4:$V$6</c:f>
              <c:numCache>
                <c:formatCode>General</c:formatCode>
                <c:ptCount val="3"/>
                <c:pt idx="0">
                  <c:v>2</c:v>
                </c:pt>
                <c:pt idx="1">
                  <c:v>15.973699999999999</c:v>
                </c:pt>
                <c:pt idx="2">
                  <c:v>151.23699999999999</c:v>
                </c:pt>
              </c:numCache>
            </c:numRef>
          </c:xVal>
          <c:yVal>
            <c:numRef>
              <c:f>'SG3525'!$W$4:$W$6</c:f>
              <c:numCache>
                <c:formatCode>General</c:formatCode>
                <c:ptCount val="3"/>
                <c:pt idx="0">
                  <c:v>1543.1200000000001</c:v>
                </c:pt>
                <c:pt idx="1">
                  <c:v>11566.5</c:v>
                </c:pt>
                <c:pt idx="2">
                  <c:v>101599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BF-42EC-AE39-856360394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903568"/>
        <c:axId val="1201900208"/>
      </c:scatterChart>
      <c:valAx>
        <c:axId val="1201903568"/>
        <c:scaling>
          <c:logBase val="10"/>
          <c:orientation val="minMax"/>
          <c:max val="20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RT [k</a:t>
                </a:r>
                <a:r>
                  <a:rPr lang="el-GR"/>
                  <a:t>Ω]</a:t>
                </a:r>
                <a:r>
                  <a:rPr lang="pt-BR" baseline="0"/>
                  <a:t> 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00208"/>
        <c:crosses val="autoZero"/>
        <c:crossBetween val="midCat"/>
      </c:valAx>
      <c:valAx>
        <c:axId val="1201900208"/>
        <c:scaling>
          <c:logBase val="10"/>
          <c:orientation val="minMax"/>
          <c:max val="2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t/CT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03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99762475880496"/>
          <c:y val="0.38631702005308649"/>
          <c:w val="0.12852049624440381"/>
          <c:h val="0.4061619083408147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194</xdr:colOff>
      <xdr:row>4</xdr:row>
      <xdr:rowOff>30038</xdr:rowOff>
    </xdr:from>
    <xdr:to>
      <xdr:col>35</xdr:col>
      <xdr:colOff>565042</xdr:colOff>
      <xdr:row>18</xdr:row>
      <xdr:rowOff>125610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42BB44-A29E-446D-B9E2-835F0B0D5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215951</xdr:colOff>
      <xdr:row>4</xdr:row>
      <xdr:rowOff>13607</xdr:rowOff>
    </xdr:from>
    <xdr:to>
      <xdr:col>21</xdr:col>
      <xdr:colOff>469985</xdr:colOff>
      <xdr:row>22</xdr:row>
      <xdr:rowOff>160114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879D69-82DE-4346-8BCC-80445DDD4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327764</xdr:colOff>
      <xdr:row>24</xdr:row>
      <xdr:rowOff>181792</xdr:rowOff>
    </xdr:from>
    <xdr:to>
      <xdr:col>47</xdr:col>
      <xdr:colOff>735067</xdr:colOff>
      <xdr:row>43</xdr:row>
      <xdr:rowOff>176692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01F292-6C5B-11F0-3486-CC7CF6E90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12</xdr:row>
      <xdr:rowOff>57150</xdr:rowOff>
    </xdr:from>
    <xdr:to>
      <xdr:col>4</xdr:col>
      <xdr:colOff>895350</xdr:colOff>
      <xdr:row>14</xdr:row>
      <xdr:rowOff>111058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E315B5-E3C0-55BC-65AD-FC1028160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2343150"/>
          <a:ext cx="2505075" cy="434908"/>
        </a:xfrm>
        <a:prstGeom prst="rect">
          <a:avLst/>
        </a:prstGeom>
      </xdr:spPr>
    </xdr:pic>
    <xdr:clientData/>
  </xdr:twoCellAnchor>
  <xdr:twoCellAnchor editAs="oneCell">
    <xdr:from>
      <xdr:col>2</xdr:col>
      <xdr:colOff>615010</xdr:colOff>
      <xdr:row>17</xdr:row>
      <xdr:rowOff>123825</xdr:rowOff>
    </xdr:from>
    <xdr:to>
      <xdr:col>4</xdr:col>
      <xdr:colOff>1181613</xdr:colOff>
      <xdr:row>27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79A55B-F259-2B9E-51B6-CCDABD634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3260" y="3362325"/>
          <a:ext cx="2843078" cy="1819275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28</xdr:row>
      <xdr:rowOff>9525</xdr:rowOff>
    </xdr:from>
    <xdr:to>
      <xdr:col>10</xdr:col>
      <xdr:colOff>173</xdr:colOff>
      <xdr:row>31</xdr:row>
      <xdr:rowOff>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30B220D-62E8-020C-B548-AC05C5648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62975" y="5343525"/>
          <a:ext cx="1238423" cy="562053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409575</xdr:colOff>
      <xdr:row>35</xdr:row>
      <xdr:rowOff>119062</xdr:rowOff>
    </xdr:from>
    <xdr:to>
      <xdr:col>15</xdr:col>
      <xdr:colOff>553523</xdr:colOff>
      <xdr:row>37</xdr:row>
      <xdr:rowOff>81010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125A4A9-7EA8-B631-6AD3-0EF01E0F9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55481" y="6786562"/>
          <a:ext cx="7680605" cy="34294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37</xdr:row>
      <xdr:rowOff>47625</xdr:rowOff>
    </xdr:from>
    <xdr:to>
      <xdr:col>5</xdr:col>
      <xdr:colOff>19537</xdr:colOff>
      <xdr:row>40</xdr:row>
      <xdr:rowOff>171547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9FB7FAA-C4C7-F6B5-78A6-BD1743111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85950" y="7096125"/>
          <a:ext cx="3486637" cy="695422"/>
        </a:xfrm>
        <a:prstGeom prst="rect">
          <a:avLst/>
        </a:prstGeom>
      </xdr:spPr>
    </xdr:pic>
    <xdr:clientData/>
  </xdr:twoCellAnchor>
  <xdr:twoCellAnchor>
    <xdr:from>
      <xdr:col>16</xdr:col>
      <xdr:colOff>47212</xdr:colOff>
      <xdr:row>22</xdr:row>
      <xdr:rowOff>19524</xdr:rowOff>
    </xdr:from>
    <xdr:to>
      <xdr:col>25</xdr:col>
      <xdr:colOff>13607</xdr:colOff>
      <xdr:row>40</xdr:row>
      <xdr:rowOff>162870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726CF6B-D812-4437-B21A-A2BA23D23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152399</xdr:colOff>
      <xdr:row>13</xdr:row>
      <xdr:rowOff>147637</xdr:rowOff>
    </xdr:from>
    <xdr:to>
      <xdr:col>15</xdr:col>
      <xdr:colOff>533399</xdr:colOff>
      <xdr:row>33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CF1DF8-0C3B-8AFF-810A-983629BC8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209550</xdr:colOff>
      <xdr:row>13</xdr:row>
      <xdr:rowOff>76200</xdr:rowOff>
    </xdr:from>
    <xdr:to>
      <xdr:col>25</xdr:col>
      <xdr:colOff>466725</xdr:colOff>
      <xdr:row>32</xdr:row>
      <xdr:rowOff>119063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7280C2-13C1-47C0-B825-CEE642D38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F884-2CFF-4F76-8CE5-270B581E13B9}">
  <dimension ref="B2:AW80"/>
  <sheetViews>
    <sheetView tabSelected="1" zoomScale="25" zoomScaleNormal="25" workbookViewId="0">
      <selection activeCell="AF49" sqref="AF49"/>
    </sheetView>
  </sheetViews>
  <sheetFormatPr defaultRowHeight="15" x14ac:dyDescent="0.25"/>
  <cols>
    <col min="1" max="3" width="9.140625" style="67"/>
    <col min="4" max="4" width="16" style="67" bestFit="1" customWidth="1"/>
    <col min="5" max="5" width="11" style="67" bestFit="1" customWidth="1"/>
    <col min="6" max="6" width="11.7109375" style="67" bestFit="1" customWidth="1"/>
    <col min="7" max="7" width="9.140625" style="67"/>
    <col min="8" max="8" width="11.42578125" style="67" bestFit="1" customWidth="1"/>
    <col min="9" max="9" width="12" style="67" bestFit="1" customWidth="1"/>
    <col min="10" max="10" width="9.140625" style="67"/>
    <col min="11" max="11" width="16.140625" style="67" bestFit="1" customWidth="1"/>
    <col min="12" max="12" width="12" style="67" bestFit="1" customWidth="1"/>
    <col min="13" max="16" width="9.140625" style="67"/>
    <col min="17" max="17" width="19.28515625" style="67" customWidth="1"/>
    <col min="18" max="18" width="16" style="67" bestFit="1" customWidth="1"/>
    <col min="19" max="19" width="11" style="67" bestFit="1" customWidth="1"/>
    <col min="20" max="20" width="15.42578125" style="67" bestFit="1" customWidth="1"/>
    <col min="21" max="21" width="6.140625" style="67" bestFit="1" customWidth="1"/>
    <col min="22" max="22" width="12.28515625" style="67" bestFit="1" customWidth="1"/>
    <col min="23" max="23" width="14.28515625" style="67" bestFit="1" customWidth="1"/>
    <col min="24" max="24" width="12.42578125" style="67" bestFit="1" customWidth="1"/>
    <col min="25" max="25" width="21.7109375" style="67" bestFit="1" customWidth="1"/>
    <col min="26" max="26" width="14.7109375" style="67" bestFit="1" customWidth="1"/>
    <col min="27" max="27" width="12.7109375" style="67" bestFit="1" customWidth="1"/>
    <col min="28" max="28" width="13.7109375" style="67" bestFit="1" customWidth="1"/>
    <col min="29" max="29" width="17.85546875" style="67" bestFit="1" customWidth="1"/>
    <col min="30" max="30" width="8.42578125" style="67" customWidth="1"/>
    <col min="31" max="31" width="12.42578125" style="67" customWidth="1"/>
    <col min="32" max="32" width="21.5703125" style="67" customWidth="1"/>
    <col min="33" max="33" width="17" style="67" customWidth="1"/>
    <col min="34" max="34" width="13.28515625" style="67" bestFit="1" customWidth="1"/>
    <col min="35" max="36" width="17.85546875" style="67" customWidth="1"/>
    <col min="37" max="37" width="15.85546875" style="67" bestFit="1" customWidth="1"/>
    <col min="38" max="38" width="14.5703125" style="67" bestFit="1" customWidth="1"/>
    <col min="39" max="39" width="14.85546875" style="67" bestFit="1" customWidth="1"/>
    <col min="40" max="40" width="18.85546875" style="67" bestFit="1" customWidth="1"/>
    <col min="41" max="41" width="12.85546875" style="67" bestFit="1" customWidth="1"/>
    <col min="42" max="42" width="19.140625" style="67" bestFit="1" customWidth="1"/>
    <col min="43" max="43" width="8.7109375" style="67" bestFit="1" customWidth="1"/>
    <col min="44" max="44" width="14.85546875" style="67" bestFit="1" customWidth="1"/>
    <col min="45" max="45" width="14.5703125" style="67" bestFit="1" customWidth="1"/>
    <col min="46" max="47" width="14.85546875" style="67" bestFit="1" customWidth="1"/>
    <col min="48" max="48" width="18.28515625" style="67" bestFit="1" customWidth="1"/>
    <col min="49" max="51" width="9.140625" style="67"/>
    <col min="52" max="52" width="12.28515625" style="67" bestFit="1" customWidth="1"/>
    <col min="53" max="54" width="9.140625" style="67"/>
    <col min="55" max="55" width="11.28515625" style="67" bestFit="1" customWidth="1"/>
    <col min="56" max="56" width="9.140625" style="67"/>
    <col min="57" max="57" width="16" style="67" bestFit="1" customWidth="1"/>
    <col min="58" max="16384" width="9.140625" style="67"/>
  </cols>
  <sheetData>
    <row r="2" spans="2:49" ht="22.5" x14ac:dyDescent="0.25">
      <c r="B2" s="87" t="s">
        <v>0</v>
      </c>
      <c r="C2" s="87"/>
      <c r="D2" s="88"/>
      <c r="E2" s="88"/>
      <c r="F2" s="88"/>
      <c r="G2" s="88"/>
      <c r="H2" s="88"/>
    </row>
    <row r="3" spans="2:49" ht="22.5" x14ac:dyDescent="0.25">
      <c r="B3" s="87" t="s">
        <v>3</v>
      </c>
      <c r="C3" s="87"/>
      <c r="D3" s="88"/>
      <c r="E3" s="88"/>
      <c r="F3" s="88"/>
      <c r="G3" s="88"/>
      <c r="H3" s="88"/>
    </row>
    <row r="4" spans="2:49" ht="44.25" customHeight="1" x14ac:dyDescent="0.25"/>
    <row r="5" spans="2:49" x14ac:dyDescent="0.25">
      <c r="B5" s="49" t="s">
        <v>2</v>
      </c>
      <c r="C5" s="49"/>
      <c r="D5" s="49"/>
      <c r="E5" s="49"/>
      <c r="F5" s="49"/>
      <c r="I5" s="49" t="s">
        <v>5</v>
      </c>
      <c r="J5" s="49"/>
      <c r="K5" s="49"/>
      <c r="L5" s="49"/>
      <c r="M5" s="49"/>
      <c r="X5" s="49" t="s">
        <v>26</v>
      </c>
      <c r="Y5" s="49"/>
      <c r="Z5" s="49"/>
      <c r="AA5" s="49"/>
      <c r="AB5" s="49"/>
      <c r="AC5" s="49"/>
      <c r="AL5" s="49" t="s">
        <v>22</v>
      </c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69"/>
    </row>
    <row r="6" spans="2:49" ht="14.25" customHeight="1" x14ac:dyDescent="0.25">
      <c r="B6" s="3" t="s">
        <v>1</v>
      </c>
      <c r="C6" s="3" t="s">
        <v>8</v>
      </c>
      <c r="D6" s="3" t="s">
        <v>7</v>
      </c>
      <c r="E6" s="3" t="s">
        <v>6</v>
      </c>
      <c r="F6" s="3" t="s">
        <v>9</v>
      </c>
      <c r="I6" s="3" t="s">
        <v>1</v>
      </c>
      <c r="J6" s="3" t="s">
        <v>10</v>
      </c>
      <c r="K6" s="3" t="s">
        <v>97</v>
      </c>
      <c r="L6" s="3" t="s">
        <v>12</v>
      </c>
      <c r="M6" s="3" t="s">
        <v>30</v>
      </c>
      <c r="X6" s="3" t="s">
        <v>1</v>
      </c>
      <c r="Y6" s="3" t="s">
        <v>7</v>
      </c>
      <c r="Z6" s="3" t="s">
        <v>6</v>
      </c>
      <c r="AA6" s="3" t="s">
        <v>27</v>
      </c>
      <c r="AB6" s="3" t="s">
        <v>28</v>
      </c>
      <c r="AC6" s="3" t="s">
        <v>29</v>
      </c>
      <c r="AL6" s="3" t="s">
        <v>1</v>
      </c>
      <c r="AM6" s="3" t="s">
        <v>8</v>
      </c>
      <c r="AN6" s="3" t="s">
        <v>7</v>
      </c>
      <c r="AO6" s="3" t="s">
        <v>6</v>
      </c>
      <c r="AP6" s="3" t="s">
        <v>11</v>
      </c>
      <c r="AQ6" s="3" t="s">
        <v>12</v>
      </c>
      <c r="AR6" s="8" t="s">
        <v>40</v>
      </c>
      <c r="AS6" s="3" t="s">
        <v>23</v>
      </c>
      <c r="AT6" s="3" t="s">
        <v>24</v>
      </c>
      <c r="AU6" s="3" t="s">
        <v>25</v>
      </c>
      <c r="AV6" s="3" t="s">
        <v>47</v>
      </c>
      <c r="AW6" s="69"/>
    </row>
    <row r="7" spans="2:49" x14ac:dyDescent="0.25">
      <c r="B7" s="2">
        <v>1</v>
      </c>
      <c r="C7" s="9">
        <v>1.242</v>
      </c>
      <c r="D7" s="9">
        <v>42.29</v>
      </c>
      <c r="E7" s="2">
        <f>D7/5</f>
        <v>8.4580000000000002</v>
      </c>
      <c r="F7" s="2">
        <f>C7/E7</f>
        <v>0.14684322534878222</v>
      </c>
      <c r="I7" s="2">
        <v>0</v>
      </c>
      <c r="J7" s="9">
        <v>0</v>
      </c>
      <c r="K7" s="9">
        <v>0</v>
      </c>
      <c r="L7" s="2">
        <f>K7*0.6</f>
        <v>0</v>
      </c>
      <c r="M7" s="2">
        <f>(2*PI()/60)*L7</f>
        <v>0</v>
      </c>
      <c r="X7" s="2">
        <v>1</v>
      </c>
      <c r="Y7" s="9">
        <v>0</v>
      </c>
      <c r="Z7" s="2">
        <f>Y7/5</f>
        <v>0</v>
      </c>
      <c r="AA7" s="9">
        <v>0</v>
      </c>
      <c r="AB7" s="2">
        <f>AA7*9.80665/1000</f>
        <v>0</v>
      </c>
      <c r="AC7" s="2">
        <f>AB7*23.1/100</f>
        <v>0</v>
      </c>
      <c r="AL7" s="2">
        <v>1</v>
      </c>
      <c r="AM7" s="9">
        <v>1.51</v>
      </c>
      <c r="AN7" s="9">
        <v>3.79</v>
      </c>
      <c r="AO7" s="2">
        <f t="shared" ref="AO7:AO23" si="0">AN7/5</f>
        <v>0.75800000000000001</v>
      </c>
      <c r="AP7" s="9">
        <v>2272</v>
      </c>
      <c r="AQ7" s="2">
        <f>AP7*0.6</f>
        <v>1363.2</v>
      </c>
      <c r="AR7" s="2">
        <f t="shared" ref="AR7:AR23" si="1">(AQ7*2*PI())/60</f>
        <v>142.75397017912022</v>
      </c>
      <c r="AS7" s="2">
        <f t="shared" ref="AS7:AS23" si="2">AM7*AO7</f>
        <v>1.1445799999999999</v>
      </c>
      <c r="AT7" s="2">
        <f t="shared" ref="AT7:AT23" si="3">AO7*AO7*$F$12</f>
        <v>9.0844304361704251E-2</v>
      </c>
      <c r="AU7" s="2">
        <f t="shared" ref="AU7:AU23" si="4">AS7-AT7</f>
        <v>1.0537356956382957</v>
      </c>
      <c r="AV7" s="2">
        <f>AU7/AR7</f>
        <v>7.3814808394899508E-3</v>
      </c>
    </row>
    <row r="8" spans="2:49" x14ac:dyDescent="0.25">
      <c r="B8" s="2">
        <v>2</v>
      </c>
      <c r="C8" s="9">
        <v>1.371</v>
      </c>
      <c r="D8" s="9">
        <v>42.21</v>
      </c>
      <c r="E8" s="2">
        <f>D8/5</f>
        <v>8.4420000000000002</v>
      </c>
      <c r="F8" s="2">
        <f>C8/E8</f>
        <v>0.16240227434257284</v>
      </c>
      <c r="I8" s="2">
        <v>1</v>
      </c>
      <c r="J8" s="64">
        <v>1.3100000000000001E-2</v>
      </c>
      <c r="K8" s="65">
        <v>21.74</v>
      </c>
      <c r="L8" s="43">
        <f>K8*0.6</f>
        <v>13.043999999999999</v>
      </c>
      <c r="M8" s="44">
        <f>(2*PI()/60)*L8</f>
        <v>1.365964485780842</v>
      </c>
      <c r="X8" s="2">
        <v>2</v>
      </c>
      <c r="Y8" s="9">
        <v>5.6</v>
      </c>
      <c r="Z8" s="2">
        <f t="shared" ref="Z8:Z71" si="5">Y8/5</f>
        <v>1.1199999999999999</v>
      </c>
      <c r="AA8" s="9">
        <v>3</v>
      </c>
      <c r="AB8" s="2">
        <f t="shared" ref="AB8:AB71" si="6">AA8*9.80665/1000</f>
        <v>2.941995E-2</v>
      </c>
      <c r="AC8" s="2">
        <f t="shared" ref="AC8:AC71" si="7">AB8*23.1/100</f>
        <v>6.7960084500000009E-3</v>
      </c>
      <c r="AL8" s="2">
        <v>2</v>
      </c>
      <c r="AM8" s="9">
        <v>1.9830000000000001</v>
      </c>
      <c r="AN8" s="9">
        <v>4.09</v>
      </c>
      <c r="AO8" s="2">
        <f t="shared" si="0"/>
        <v>0.81799999999999995</v>
      </c>
      <c r="AP8" s="9">
        <v>3125</v>
      </c>
      <c r="AQ8" s="2">
        <f t="shared" ref="AQ8:AQ23" si="8">AP8*0.6</f>
        <v>1875</v>
      </c>
      <c r="AR8" s="2">
        <f t="shared" si="1"/>
        <v>196.34954084936209</v>
      </c>
      <c r="AS8" s="2">
        <f t="shared" si="2"/>
        <v>1.6220939999999999</v>
      </c>
      <c r="AT8" s="2">
        <f t="shared" si="3"/>
        <v>0.10579518436887969</v>
      </c>
      <c r="AU8" s="2">
        <f t="shared" si="4"/>
        <v>1.5162988156311203</v>
      </c>
      <c r="AV8" s="2">
        <f t="shared" ref="AV8:AV23" si="9">AU8/AR8</f>
        <v>7.7224464547865357E-3</v>
      </c>
    </row>
    <row r="9" spans="2:49" x14ac:dyDescent="0.25">
      <c r="B9" s="2">
        <v>3</v>
      </c>
      <c r="C9" s="9">
        <v>1.335</v>
      </c>
      <c r="D9" s="9">
        <v>42.35</v>
      </c>
      <c r="E9" s="2">
        <f>D9/5</f>
        <v>8.4700000000000006</v>
      </c>
      <c r="F9" s="2">
        <f>C9/E9</f>
        <v>0.1576151121605667</v>
      </c>
      <c r="I9" s="2">
        <v>2</v>
      </c>
      <c r="J9" s="64">
        <v>1.3899999999999999E-2</v>
      </c>
      <c r="K9" s="65">
        <v>22.81</v>
      </c>
      <c r="L9" s="43">
        <f>K9*0.6</f>
        <v>13.685999999999998</v>
      </c>
      <c r="M9" s="44">
        <f>(2*PI()/60)*L9</f>
        <v>1.4331945685676635</v>
      </c>
      <c r="X9" s="2">
        <v>3</v>
      </c>
      <c r="Y9" s="9">
        <v>5.7</v>
      </c>
      <c r="Z9" s="2">
        <f t="shared" si="5"/>
        <v>1.1400000000000001</v>
      </c>
      <c r="AA9" s="9">
        <v>4</v>
      </c>
      <c r="AB9" s="2">
        <f t="shared" si="6"/>
        <v>3.92266E-2</v>
      </c>
      <c r="AC9" s="2">
        <f t="shared" si="7"/>
        <v>9.0613446E-3</v>
      </c>
      <c r="AL9" s="2">
        <v>3</v>
      </c>
      <c r="AM9" s="9">
        <v>2.4940000000000002</v>
      </c>
      <c r="AN9" s="9">
        <v>4.2300000000000004</v>
      </c>
      <c r="AO9" s="2">
        <f t="shared" si="0"/>
        <v>0.84600000000000009</v>
      </c>
      <c r="AP9" s="9">
        <v>4032</v>
      </c>
      <c r="AQ9" s="2">
        <f t="shared" si="8"/>
        <v>2419.1999999999998</v>
      </c>
      <c r="AR9" s="2">
        <f t="shared" si="1"/>
        <v>253.33803158548091</v>
      </c>
      <c r="AS9" s="2">
        <f t="shared" si="2"/>
        <v>2.1099240000000004</v>
      </c>
      <c r="AT9" s="2">
        <f t="shared" si="3"/>
        <v>0.11316184470405653</v>
      </c>
      <c r="AU9" s="2">
        <f t="shared" si="4"/>
        <v>1.9967621552959438</v>
      </c>
      <c r="AV9" s="2">
        <f t="shared" si="9"/>
        <v>7.8818097022365138E-3</v>
      </c>
    </row>
    <row r="10" spans="2:49" x14ac:dyDescent="0.25">
      <c r="B10" s="2">
        <v>4</v>
      </c>
      <c r="C10" s="9">
        <v>0.82699999999999996</v>
      </c>
      <c r="D10" s="9">
        <v>24.27</v>
      </c>
      <c r="E10" s="2">
        <f>D10/5</f>
        <v>4.8540000000000001</v>
      </c>
      <c r="F10" s="2">
        <f>C10/E10</f>
        <v>0.1703749484960857</v>
      </c>
      <c r="I10" s="2">
        <v>3</v>
      </c>
      <c r="J10" s="64">
        <v>1.8499999999999999E-2</v>
      </c>
      <c r="K10" s="65">
        <v>30.9</v>
      </c>
      <c r="L10" s="43">
        <f>K10*0.6</f>
        <v>18.54</v>
      </c>
      <c r="M10" s="44">
        <f>(2*PI()/60)*L10</f>
        <v>1.941504259918492</v>
      </c>
      <c r="X10" s="2">
        <v>4</v>
      </c>
      <c r="Y10" s="9">
        <v>6</v>
      </c>
      <c r="Z10" s="2">
        <f t="shared" si="5"/>
        <v>1.2</v>
      </c>
      <c r="AA10" s="9">
        <v>5</v>
      </c>
      <c r="AB10" s="2">
        <f t="shared" si="6"/>
        <v>4.9033249999999994E-2</v>
      </c>
      <c r="AC10" s="2">
        <f t="shared" si="7"/>
        <v>1.132668075E-2</v>
      </c>
      <c r="AL10" s="2">
        <v>4</v>
      </c>
      <c r="AM10" s="9">
        <v>3.0539999999999998</v>
      </c>
      <c r="AN10" s="9">
        <v>4.24</v>
      </c>
      <c r="AO10" s="2">
        <f t="shared" si="0"/>
        <v>0.84800000000000009</v>
      </c>
      <c r="AP10" s="9">
        <v>4902</v>
      </c>
      <c r="AQ10" s="2">
        <f t="shared" si="8"/>
        <v>2941.2</v>
      </c>
      <c r="AR10" s="2">
        <f t="shared" si="1"/>
        <v>308.0017437579433</v>
      </c>
      <c r="AS10" s="2">
        <f t="shared" si="2"/>
        <v>2.5897920000000001</v>
      </c>
      <c r="AT10" s="2">
        <f t="shared" si="3"/>
        <v>0.11369752132698706</v>
      </c>
      <c r="AU10" s="2">
        <f t="shared" si="4"/>
        <v>2.476094478673013</v>
      </c>
      <c r="AV10" s="2">
        <f t="shared" si="9"/>
        <v>8.0392222734263497E-3</v>
      </c>
    </row>
    <row r="11" spans="2:49" x14ac:dyDescent="0.25">
      <c r="B11" s="2">
        <v>5</v>
      </c>
      <c r="C11" s="9">
        <v>0.754</v>
      </c>
      <c r="D11" s="9">
        <v>24.59</v>
      </c>
      <c r="E11" s="2">
        <f>D11/5</f>
        <v>4.9180000000000001</v>
      </c>
      <c r="F11" s="2">
        <f>C11/E11</f>
        <v>0.15331435542903618</v>
      </c>
      <c r="I11" s="2">
        <v>4</v>
      </c>
      <c r="J11" s="64">
        <v>2.1299999999999999E-2</v>
      </c>
      <c r="K11" s="65">
        <v>35.869999999999997</v>
      </c>
      <c r="L11" s="43">
        <f>K11*0.6</f>
        <v>21.521999999999998</v>
      </c>
      <c r="M11" s="44">
        <f>(2*PI()/60)*L11</f>
        <v>2.2537785696853172</v>
      </c>
      <c r="X11" s="2">
        <v>5</v>
      </c>
      <c r="Y11" s="9">
        <v>8</v>
      </c>
      <c r="Z11" s="2">
        <f t="shared" si="5"/>
        <v>1.6</v>
      </c>
      <c r="AA11" s="9">
        <v>6</v>
      </c>
      <c r="AB11" s="2">
        <f t="shared" si="6"/>
        <v>5.8839900000000001E-2</v>
      </c>
      <c r="AC11" s="2">
        <f t="shared" si="7"/>
        <v>1.3592016900000002E-2</v>
      </c>
      <c r="AL11" s="2">
        <v>5</v>
      </c>
      <c r="AM11" s="9">
        <v>3.532</v>
      </c>
      <c r="AN11" s="9">
        <v>4.42</v>
      </c>
      <c r="AO11" s="2">
        <f t="shared" si="0"/>
        <v>0.88400000000000001</v>
      </c>
      <c r="AP11" s="9">
        <v>5882</v>
      </c>
      <c r="AQ11" s="2">
        <f t="shared" si="8"/>
        <v>3529.2</v>
      </c>
      <c r="AR11" s="2">
        <f t="shared" si="1"/>
        <v>369.5769597683032</v>
      </c>
      <c r="AS11" s="2">
        <f t="shared" si="2"/>
        <v>3.1222880000000002</v>
      </c>
      <c r="AT11" s="2">
        <f t="shared" si="3"/>
        <v>0.12355599499669309</v>
      </c>
      <c r="AU11" s="2">
        <f t="shared" si="4"/>
        <v>2.9987320050033071</v>
      </c>
      <c r="AV11" s="2">
        <f t="shared" si="9"/>
        <v>8.1139582047627789E-3</v>
      </c>
    </row>
    <row r="12" spans="2:49" x14ac:dyDescent="0.25">
      <c r="B12" s="55" t="s">
        <v>4</v>
      </c>
      <c r="C12" s="55"/>
      <c r="D12" s="55"/>
      <c r="E12" s="55"/>
      <c r="F12" s="2">
        <f>SUM(F7:F11)/B11</f>
        <v>0.15810998315540872</v>
      </c>
      <c r="I12" s="2">
        <v>5</v>
      </c>
      <c r="J12" s="64">
        <v>2.58E-2</v>
      </c>
      <c r="K12" s="65">
        <v>42.81</v>
      </c>
      <c r="L12" s="43">
        <f>K12*0.6</f>
        <v>25.686</v>
      </c>
      <c r="M12" s="44">
        <f>(2*PI()/60)*L12</f>
        <v>2.6898316300035807</v>
      </c>
      <c r="X12" s="2">
        <v>6</v>
      </c>
      <c r="Y12" s="9">
        <v>8.8000000000000007</v>
      </c>
      <c r="Z12" s="2">
        <f t="shared" si="5"/>
        <v>1.7600000000000002</v>
      </c>
      <c r="AA12" s="9">
        <v>7</v>
      </c>
      <c r="AB12" s="2">
        <f t="shared" si="6"/>
        <v>6.8646549999999987E-2</v>
      </c>
      <c r="AC12" s="2">
        <f t="shared" si="7"/>
        <v>1.5857353049999998E-2</v>
      </c>
      <c r="AL12" s="2">
        <v>6</v>
      </c>
      <c r="AM12" s="9">
        <v>4.0049999999999999</v>
      </c>
      <c r="AN12" s="9">
        <v>4.58</v>
      </c>
      <c r="AO12" s="2">
        <f t="shared" si="0"/>
        <v>0.91600000000000004</v>
      </c>
      <c r="AP12" s="9">
        <v>6579</v>
      </c>
      <c r="AQ12" s="2">
        <f t="shared" si="8"/>
        <v>3947.3999999999996</v>
      </c>
      <c r="AR12" s="2">
        <f t="shared" si="1"/>
        <v>413.37076135934495</v>
      </c>
      <c r="AS12" s="2">
        <f t="shared" si="2"/>
        <v>3.66858</v>
      </c>
      <c r="AT12" s="2">
        <f t="shared" si="3"/>
        <v>0.13266313002644461</v>
      </c>
      <c r="AU12" s="2">
        <f t="shared" si="4"/>
        <v>3.5359168699735553</v>
      </c>
      <c r="AV12" s="2">
        <f t="shared" si="9"/>
        <v>8.5538630220141961E-3</v>
      </c>
    </row>
    <row r="13" spans="2:49" x14ac:dyDescent="0.25">
      <c r="I13" s="2">
        <v>6</v>
      </c>
      <c r="J13" s="64">
        <v>2.7099999999999999E-2</v>
      </c>
      <c r="K13" s="65">
        <v>46.17</v>
      </c>
      <c r="L13" s="43">
        <f>K13*0.6</f>
        <v>27.702000000000002</v>
      </c>
      <c r="M13" s="44">
        <f>(2*PI()/60)*L13</f>
        <v>2.9009466563248152</v>
      </c>
      <c r="X13" s="2">
        <v>7</v>
      </c>
      <c r="Y13" s="9">
        <v>9.1999999999999993</v>
      </c>
      <c r="Z13" s="2">
        <f t="shared" si="5"/>
        <v>1.8399999999999999</v>
      </c>
      <c r="AA13" s="9">
        <v>8</v>
      </c>
      <c r="AB13" s="2">
        <f t="shared" si="6"/>
        <v>7.8453200000000001E-2</v>
      </c>
      <c r="AC13" s="2">
        <f t="shared" si="7"/>
        <v>1.81226892E-2</v>
      </c>
      <c r="AL13" s="2">
        <v>7</v>
      </c>
      <c r="AM13" s="9">
        <v>4.5010000000000003</v>
      </c>
      <c r="AN13" s="9">
        <v>4.6900000000000004</v>
      </c>
      <c r="AO13" s="2">
        <f t="shared" si="0"/>
        <v>0.93800000000000006</v>
      </c>
      <c r="AP13" s="9">
        <v>7463</v>
      </c>
      <c r="AQ13" s="2">
        <f t="shared" si="8"/>
        <v>4477.8</v>
      </c>
      <c r="AR13" s="2">
        <f t="shared" si="1"/>
        <v>468.91411947481254</v>
      </c>
      <c r="AS13" s="2">
        <f t="shared" si="2"/>
        <v>4.2219380000000006</v>
      </c>
      <c r="AT13" s="2">
        <f t="shared" si="3"/>
        <v>0.13911212001938744</v>
      </c>
      <c r="AU13" s="2">
        <f t="shared" si="4"/>
        <v>4.0828258799806134</v>
      </c>
      <c r="AV13" s="2">
        <f t="shared" si="9"/>
        <v>8.7069800426427986E-3</v>
      </c>
    </row>
    <row r="14" spans="2:49" x14ac:dyDescent="0.25">
      <c r="I14" s="2">
        <v>7</v>
      </c>
      <c r="J14" s="64">
        <v>3.7199999999999997E-2</v>
      </c>
      <c r="K14" s="65">
        <v>62.03</v>
      </c>
      <c r="L14" s="43">
        <f>K14*0.6</f>
        <v>37.217999999999996</v>
      </c>
      <c r="M14" s="44">
        <f>(2*PI()/60)*L14</f>
        <v>3.8974598460434966</v>
      </c>
      <c r="X14" s="2">
        <v>8</v>
      </c>
      <c r="Y14" s="9">
        <v>10.6</v>
      </c>
      <c r="Z14" s="2">
        <f t="shared" si="5"/>
        <v>2.12</v>
      </c>
      <c r="AA14" s="9">
        <v>9</v>
      </c>
      <c r="AB14" s="2">
        <f t="shared" si="6"/>
        <v>8.8259850000000001E-2</v>
      </c>
      <c r="AC14" s="2">
        <f t="shared" si="7"/>
        <v>2.0388025350000002E-2</v>
      </c>
      <c r="AL14" s="2">
        <v>8</v>
      </c>
      <c r="AM14" s="9">
        <v>5.0119999999999996</v>
      </c>
      <c r="AN14" s="9">
        <v>4.8499999999999996</v>
      </c>
      <c r="AO14" s="2">
        <f t="shared" si="0"/>
        <v>0.97</v>
      </c>
      <c r="AP14" s="9">
        <v>8333</v>
      </c>
      <c r="AQ14" s="2">
        <f t="shared" si="8"/>
        <v>4999.8</v>
      </c>
      <c r="AR14" s="2">
        <f t="shared" si="1"/>
        <v>523.57783164727493</v>
      </c>
      <c r="AS14" s="2">
        <f t="shared" si="2"/>
        <v>4.8616399999999995</v>
      </c>
      <c r="AT14" s="2">
        <f t="shared" si="3"/>
        <v>0.14876568315092406</v>
      </c>
      <c r="AU14" s="2">
        <f t="shared" si="4"/>
        <v>4.7128743168490752</v>
      </c>
      <c r="AV14" s="2">
        <f t="shared" si="9"/>
        <v>9.0012869758474695E-3</v>
      </c>
    </row>
    <row r="15" spans="2:49" x14ac:dyDescent="0.25">
      <c r="B15" s="49" t="s">
        <v>15</v>
      </c>
      <c r="C15" s="49"/>
      <c r="D15" s="49"/>
      <c r="E15" s="49"/>
      <c r="F15" s="49"/>
      <c r="I15" s="2">
        <v>8</v>
      </c>
      <c r="J15" s="64">
        <v>5.7799999999999997E-2</v>
      </c>
      <c r="K15" s="65">
        <v>95.97</v>
      </c>
      <c r="L15" s="43">
        <f>K15*0.6</f>
        <v>57.581999999999994</v>
      </c>
      <c r="M15" s="44">
        <f>(2*PI()/60)*L15</f>
        <v>6.0299729393002481</v>
      </c>
      <c r="X15" s="2">
        <v>9</v>
      </c>
      <c r="Y15" s="9">
        <v>12.2</v>
      </c>
      <c r="Z15" s="2">
        <f t="shared" si="5"/>
        <v>2.44</v>
      </c>
      <c r="AA15" s="9">
        <v>10</v>
      </c>
      <c r="AB15" s="2">
        <f t="shared" si="6"/>
        <v>9.8066499999999987E-2</v>
      </c>
      <c r="AC15" s="2">
        <f t="shared" si="7"/>
        <v>2.26533615E-2</v>
      </c>
      <c r="AL15" s="2">
        <v>9</v>
      </c>
      <c r="AM15" s="9">
        <v>5.5090000000000003</v>
      </c>
      <c r="AN15" s="9">
        <v>4.97</v>
      </c>
      <c r="AO15" s="2">
        <f t="shared" si="0"/>
        <v>0.99399999999999999</v>
      </c>
      <c r="AP15" s="9">
        <v>9091</v>
      </c>
      <c r="AQ15" s="2">
        <f t="shared" si="8"/>
        <v>5454.5999999999995</v>
      </c>
      <c r="AR15" s="2">
        <f t="shared" si="1"/>
        <v>571.20437627569618</v>
      </c>
      <c r="AS15" s="2">
        <f t="shared" si="2"/>
        <v>5.4759460000000004</v>
      </c>
      <c r="AT15" s="2">
        <f t="shared" si="3"/>
        <v>0.15621835531693742</v>
      </c>
      <c r="AU15" s="2">
        <f t="shared" si="4"/>
        <v>5.3197276446830628</v>
      </c>
      <c r="AV15" s="2">
        <f t="shared" si="9"/>
        <v>9.3131773243198251E-3</v>
      </c>
    </row>
    <row r="16" spans="2:49" ht="18.75" x14ac:dyDescent="0.25">
      <c r="B16" s="55" t="s">
        <v>17</v>
      </c>
      <c r="C16" s="55"/>
      <c r="D16" s="55"/>
      <c r="E16" s="4" t="s">
        <v>21</v>
      </c>
      <c r="F16" s="60">
        <v>600</v>
      </c>
      <c r="I16" s="2">
        <v>9</v>
      </c>
      <c r="J16" s="64">
        <v>6.54E-2</v>
      </c>
      <c r="K16" s="65">
        <v>108.4</v>
      </c>
      <c r="L16" s="43">
        <f>K16*0.6</f>
        <v>65.040000000000006</v>
      </c>
      <c r="M16" s="44">
        <f>(2*PI()/60)*L16</f>
        <v>6.8109728729826715</v>
      </c>
      <c r="X16" s="2">
        <v>10</v>
      </c>
      <c r="Y16" s="9">
        <v>13.3</v>
      </c>
      <c r="Z16" s="2">
        <f t="shared" si="5"/>
        <v>2.66</v>
      </c>
      <c r="AA16" s="9">
        <v>11</v>
      </c>
      <c r="AB16" s="2">
        <f t="shared" si="6"/>
        <v>0.10787315</v>
      </c>
      <c r="AC16" s="2">
        <f t="shared" si="7"/>
        <v>2.4918697650000002E-2</v>
      </c>
      <c r="AL16" s="2">
        <v>10</v>
      </c>
      <c r="AM16" s="9">
        <v>6.04</v>
      </c>
      <c r="AN16" s="9">
        <v>5.05</v>
      </c>
      <c r="AO16" s="2">
        <f t="shared" si="0"/>
        <v>1.01</v>
      </c>
      <c r="AP16" s="9">
        <v>10000</v>
      </c>
      <c r="AQ16" s="2">
        <f t="shared" si="8"/>
        <v>6000</v>
      </c>
      <c r="AR16" s="2">
        <f t="shared" si="1"/>
        <v>628.31853071795865</v>
      </c>
      <c r="AS16" s="2">
        <f t="shared" si="2"/>
        <v>6.1004000000000005</v>
      </c>
      <c r="AT16" s="2">
        <f t="shared" si="3"/>
        <v>0.16128799381683245</v>
      </c>
      <c r="AU16" s="2">
        <f t="shared" si="4"/>
        <v>5.9391120061831684</v>
      </c>
      <c r="AV16" s="2">
        <f t="shared" si="9"/>
        <v>9.4523903336047443E-3</v>
      </c>
    </row>
    <row r="17" spans="2:48" x14ac:dyDescent="0.25">
      <c r="B17" s="55" t="s">
        <v>16</v>
      </c>
      <c r="C17" s="55"/>
      <c r="D17" s="55"/>
      <c r="E17" s="5" t="s">
        <v>20</v>
      </c>
      <c r="F17" s="2">
        <f>F12</f>
        <v>0.15810998315540872</v>
      </c>
      <c r="I17" s="2">
        <v>10</v>
      </c>
      <c r="J17" s="64">
        <v>8.3799999999999999E-2</v>
      </c>
      <c r="K17" s="65">
        <v>139.6</v>
      </c>
      <c r="L17" s="43">
        <f>K17*0.6</f>
        <v>83.759999999999991</v>
      </c>
      <c r="M17" s="44">
        <f>(2*PI()/60)*L17</f>
        <v>8.7713266888227004</v>
      </c>
      <c r="X17" s="2">
        <v>11</v>
      </c>
      <c r="Y17" s="9">
        <v>13.7</v>
      </c>
      <c r="Z17" s="2">
        <f t="shared" si="5"/>
        <v>2.7399999999999998</v>
      </c>
      <c r="AA17" s="9">
        <v>12</v>
      </c>
      <c r="AB17" s="2">
        <f t="shared" si="6"/>
        <v>0.1176798</v>
      </c>
      <c r="AC17" s="2">
        <f t="shared" si="7"/>
        <v>2.7184033800000004E-2</v>
      </c>
      <c r="AL17" s="2">
        <v>11</v>
      </c>
      <c r="AM17" s="9">
        <v>6.51</v>
      </c>
      <c r="AN17" s="9">
        <v>5.2</v>
      </c>
      <c r="AO17" s="2">
        <f t="shared" si="0"/>
        <v>1.04</v>
      </c>
      <c r="AP17" s="9">
        <v>10870</v>
      </c>
      <c r="AQ17" s="2">
        <f t="shared" si="8"/>
        <v>6522</v>
      </c>
      <c r="AR17" s="2">
        <f t="shared" si="1"/>
        <v>682.98224289042105</v>
      </c>
      <c r="AS17" s="2">
        <f t="shared" si="2"/>
        <v>6.7704000000000004</v>
      </c>
      <c r="AT17" s="2">
        <f t="shared" si="3"/>
        <v>0.17101175778089009</v>
      </c>
      <c r="AU17" s="2">
        <f t="shared" si="4"/>
        <v>6.5993882422191099</v>
      </c>
      <c r="AV17" s="2">
        <f t="shared" si="9"/>
        <v>9.6626058889761335E-3</v>
      </c>
    </row>
    <row r="18" spans="2:48" x14ac:dyDescent="0.25">
      <c r="B18" s="55" t="s">
        <v>18</v>
      </c>
      <c r="C18" s="55"/>
      <c r="D18" s="55"/>
      <c r="E18" s="5" t="s">
        <v>19</v>
      </c>
      <c r="F18" s="6">
        <f>(F16)*F17</f>
        <v>94.865989893245228</v>
      </c>
      <c r="I18" s="2">
        <v>11</v>
      </c>
      <c r="J18" s="64">
        <v>9.3600000000000003E-2</v>
      </c>
      <c r="K18" s="65">
        <v>156</v>
      </c>
      <c r="L18" s="43">
        <f>K18*0.6</f>
        <v>93.6</v>
      </c>
      <c r="M18" s="44">
        <f>(2*PI()/60)*L18</f>
        <v>9.8017690792001542</v>
      </c>
      <c r="X18" s="2">
        <v>12</v>
      </c>
      <c r="Y18" s="9">
        <v>15</v>
      </c>
      <c r="Z18" s="2">
        <f t="shared" si="5"/>
        <v>3</v>
      </c>
      <c r="AA18" s="9">
        <v>13</v>
      </c>
      <c r="AB18" s="2">
        <f t="shared" si="6"/>
        <v>0.12748645</v>
      </c>
      <c r="AC18" s="2">
        <f t="shared" si="7"/>
        <v>2.9449369950000005E-2</v>
      </c>
      <c r="AL18" s="2">
        <v>12</v>
      </c>
      <c r="AM18" s="9">
        <v>7.05</v>
      </c>
      <c r="AN18" s="9">
        <v>5.26</v>
      </c>
      <c r="AO18" s="2">
        <f t="shared" si="0"/>
        <v>1.052</v>
      </c>
      <c r="AP18" s="9">
        <v>11628</v>
      </c>
      <c r="AQ18" s="2">
        <f t="shared" si="8"/>
        <v>6976.8</v>
      </c>
      <c r="AR18" s="2">
        <f t="shared" si="1"/>
        <v>730.60878751884229</v>
      </c>
      <c r="AS18" s="2">
        <f t="shared" si="2"/>
        <v>7.4165999999999999</v>
      </c>
      <c r="AT18" s="2">
        <f t="shared" si="3"/>
        <v>0.17498095079802348</v>
      </c>
      <c r="AU18" s="2">
        <f t="shared" si="4"/>
        <v>7.2416190492019767</v>
      </c>
      <c r="AV18" s="2">
        <f t="shared" si="9"/>
        <v>9.9117601278717396E-3</v>
      </c>
    </row>
    <row r="19" spans="2:48" x14ac:dyDescent="0.25">
      <c r="I19" s="2">
        <v>12</v>
      </c>
      <c r="J19" s="64">
        <v>0.12640000000000001</v>
      </c>
      <c r="K19" s="65">
        <v>209.9</v>
      </c>
      <c r="L19" s="43">
        <f>K19*0.6</f>
        <v>125.94</v>
      </c>
      <c r="M19" s="44">
        <f>(2*PI()/60)*L19</f>
        <v>13.18840595976995</v>
      </c>
      <c r="X19" s="2">
        <v>13</v>
      </c>
      <c r="Y19" s="9">
        <v>16.5</v>
      </c>
      <c r="Z19" s="2">
        <f t="shared" si="5"/>
        <v>3.3</v>
      </c>
      <c r="AA19" s="9">
        <v>14</v>
      </c>
      <c r="AB19" s="2">
        <f t="shared" si="6"/>
        <v>0.13729309999999997</v>
      </c>
      <c r="AC19" s="2">
        <f t="shared" si="7"/>
        <v>3.1714706099999997E-2</v>
      </c>
      <c r="AL19" s="2">
        <v>13</v>
      </c>
      <c r="AM19" s="9">
        <v>7.52</v>
      </c>
      <c r="AN19" s="9">
        <v>5.6</v>
      </c>
      <c r="AO19" s="2">
        <f t="shared" si="0"/>
        <v>1.1199999999999999</v>
      </c>
      <c r="AP19" s="9">
        <v>12777</v>
      </c>
      <c r="AQ19" s="2">
        <f t="shared" si="8"/>
        <v>7666.2</v>
      </c>
      <c r="AR19" s="2">
        <f t="shared" si="1"/>
        <v>802.80258669833563</v>
      </c>
      <c r="AS19" s="2">
        <f t="shared" si="2"/>
        <v>8.4223999999999979</v>
      </c>
      <c r="AT19" s="2">
        <f t="shared" si="3"/>
        <v>0.19833316287014466</v>
      </c>
      <c r="AU19" s="2">
        <f t="shared" si="4"/>
        <v>8.224066837129854</v>
      </c>
      <c r="AV19" s="2">
        <f t="shared" si="9"/>
        <v>1.0244195738024152E-2</v>
      </c>
    </row>
    <row r="20" spans="2:48" x14ac:dyDescent="0.25">
      <c r="I20" s="2">
        <v>13</v>
      </c>
      <c r="J20" s="64">
        <v>0.1399</v>
      </c>
      <c r="K20" s="65">
        <v>231</v>
      </c>
      <c r="L20" s="43">
        <f>K20*0.6</f>
        <v>138.6</v>
      </c>
      <c r="M20" s="44">
        <f>(2*PI()/60)*L20</f>
        <v>14.514158059584844</v>
      </c>
      <c r="X20" s="2">
        <v>14</v>
      </c>
      <c r="Y20" s="9">
        <v>17.899999999999999</v>
      </c>
      <c r="Z20" s="2">
        <f t="shared" si="5"/>
        <v>3.5799999999999996</v>
      </c>
      <c r="AA20" s="9">
        <v>15</v>
      </c>
      <c r="AB20" s="2">
        <f t="shared" si="6"/>
        <v>0.14709975</v>
      </c>
      <c r="AC20" s="2">
        <f t="shared" si="7"/>
        <v>3.3980042250000002E-2</v>
      </c>
      <c r="AL20" s="2">
        <v>14</v>
      </c>
      <c r="AM20" s="9">
        <v>8.06</v>
      </c>
      <c r="AN20" s="9">
        <v>5.7</v>
      </c>
      <c r="AO20" s="2">
        <f t="shared" si="0"/>
        <v>1.1400000000000001</v>
      </c>
      <c r="AP20" s="9">
        <v>13464</v>
      </c>
      <c r="AQ20" s="2">
        <f t="shared" si="8"/>
        <v>8078.4</v>
      </c>
      <c r="AR20" s="2">
        <f t="shared" si="1"/>
        <v>845.96806975865945</v>
      </c>
      <c r="AS20" s="2">
        <f t="shared" si="2"/>
        <v>9.1884000000000015</v>
      </c>
      <c r="AT20" s="2">
        <f t="shared" si="3"/>
        <v>0.20547973410876921</v>
      </c>
      <c r="AU20" s="2">
        <f t="shared" si="4"/>
        <v>8.9829202658912326</v>
      </c>
      <c r="AV20" s="2">
        <f t="shared" si="9"/>
        <v>1.0618509831528167E-2</v>
      </c>
    </row>
    <row r="21" spans="2:48" x14ac:dyDescent="0.25">
      <c r="I21" s="2">
        <v>14</v>
      </c>
      <c r="J21" s="64">
        <v>0.16420000000000001</v>
      </c>
      <c r="K21" s="65">
        <v>275.89999999999998</v>
      </c>
      <c r="L21" s="43">
        <f>K21*0.6</f>
        <v>165.54</v>
      </c>
      <c r="M21" s="44">
        <f>(2*PI()/60)*L21</f>
        <v>17.335308262508477</v>
      </c>
      <c r="X21" s="2">
        <v>15</v>
      </c>
      <c r="Y21" s="9">
        <v>20.3</v>
      </c>
      <c r="Z21" s="2">
        <f t="shared" si="5"/>
        <v>4.0600000000000005</v>
      </c>
      <c r="AA21" s="9">
        <v>16</v>
      </c>
      <c r="AB21" s="2">
        <f t="shared" si="6"/>
        <v>0.1569064</v>
      </c>
      <c r="AC21" s="2">
        <f t="shared" si="7"/>
        <v>3.62453784E-2</v>
      </c>
      <c r="AE21" s="77" t="s">
        <v>98</v>
      </c>
      <c r="AF21" s="77"/>
      <c r="AI21" s="77" t="s">
        <v>35</v>
      </c>
      <c r="AJ21" s="77"/>
      <c r="AL21" s="2">
        <v>15</v>
      </c>
      <c r="AM21" s="9">
        <v>8.51</v>
      </c>
      <c r="AN21" s="9">
        <v>5.9</v>
      </c>
      <c r="AO21" s="2">
        <f t="shared" si="0"/>
        <v>1.1800000000000002</v>
      </c>
      <c r="AP21" s="9">
        <v>14560</v>
      </c>
      <c r="AQ21" s="2">
        <f t="shared" si="8"/>
        <v>8736</v>
      </c>
      <c r="AR21" s="2">
        <f t="shared" si="1"/>
        <v>914.83178072534781</v>
      </c>
      <c r="AS21" s="2">
        <f t="shared" si="2"/>
        <v>10.0418</v>
      </c>
      <c r="AT21" s="2">
        <f t="shared" si="3"/>
        <v>0.22015234054559116</v>
      </c>
      <c r="AU21" s="2">
        <f t="shared" si="4"/>
        <v>9.8216476594544098</v>
      </c>
      <c r="AV21" s="2">
        <f t="shared" si="9"/>
        <v>1.0736014933441715E-2</v>
      </c>
    </row>
    <row r="22" spans="2:48" x14ac:dyDescent="0.25">
      <c r="I22" s="2">
        <v>15</v>
      </c>
      <c r="J22" s="64">
        <v>0.1865</v>
      </c>
      <c r="K22" s="65">
        <v>312.5</v>
      </c>
      <c r="L22" s="43">
        <f>K22*0.6</f>
        <v>187.5</v>
      </c>
      <c r="M22" s="44">
        <f>(2*PI()/60)*L22</f>
        <v>19.634954084936208</v>
      </c>
      <c r="X22" s="2">
        <v>16</v>
      </c>
      <c r="Y22" s="9">
        <v>20.399999999999999</v>
      </c>
      <c r="Z22" s="2">
        <f t="shared" si="5"/>
        <v>4.08</v>
      </c>
      <c r="AA22" s="9">
        <v>17</v>
      </c>
      <c r="AB22" s="2">
        <f t="shared" si="6"/>
        <v>0.16671304999999997</v>
      </c>
      <c r="AC22" s="2">
        <f t="shared" si="7"/>
        <v>3.8510714549999998E-2</v>
      </c>
      <c r="AE22" s="74" t="s">
        <v>13</v>
      </c>
      <c r="AF22" s="74">
        <f>SLOPE(AC7:AC80,Z7:Z80)</f>
        <v>9.7374748269106245E-3</v>
      </c>
      <c r="AG22" s="84" t="s">
        <v>101</v>
      </c>
      <c r="AI22" s="74" t="s">
        <v>33</v>
      </c>
      <c r="AJ22" s="74">
        <f>P27</f>
        <v>9.5302116479217235E-3</v>
      </c>
      <c r="AL22" s="2">
        <v>16</v>
      </c>
      <c r="AM22" s="9">
        <v>9.0500000000000007</v>
      </c>
      <c r="AN22" s="9">
        <v>5.9</v>
      </c>
      <c r="AO22" s="2">
        <f t="shared" si="0"/>
        <v>1.1800000000000002</v>
      </c>
      <c r="AP22" s="9">
        <v>15151</v>
      </c>
      <c r="AQ22" s="2">
        <f t="shared" si="8"/>
        <v>9090.6</v>
      </c>
      <c r="AR22" s="2">
        <f t="shared" si="1"/>
        <v>951.96540589077915</v>
      </c>
      <c r="AS22" s="2">
        <f t="shared" si="2"/>
        <v>10.679000000000002</v>
      </c>
      <c r="AT22" s="2">
        <f t="shared" si="3"/>
        <v>0.22015234054559116</v>
      </c>
      <c r="AU22" s="2">
        <f t="shared" si="4"/>
        <v>10.458847659454412</v>
      </c>
      <c r="AV22" s="2">
        <f t="shared" si="9"/>
        <v>1.0986583750559498E-2</v>
      </c>
    </row>
    <row r="23" spans="2:48" x14ac:dyDescent="0.25">
      <c r="I23" s="2">
        <v>16</v>
      </c>
      <c r="J23" s="64">
        <v>0.19739999999999999</v>
      </c>
      <c r="K23" s="65">
        <v>342</v>
      </c>
      <c r="L23" s="43">
        <f>K23*0.6</f>
        <v>205.2</v>
      </c>
      <c r="M23" s="44">
        <f>(2*PI()/60)*L23</f>
        <v>21.488493750554184</v>
      </c>
      <c r="O23" s="85"/>
      <c r="P23" s="85"/>
      <c r="X23" s="2">
        <v>17</v>
      </c>
      <c r="Y23" s="9">
        <v>21.1</v>
      </c>
      <c r="Z23" s="2">
        <f t="shared" si="5"/>
        <v>4.2200000000000006</v>
      </c>
      <c r="AA23" s="9">
        <v>18</v>
      </c>
      <c r="AB23" s="2">
        <f t="shared" si="6"/>
        <v>0.1765197</v>
      </c>
      <c r="AC23" s="2">
        <f t="shared" si="7"/>
        <v>4.0776050700000004E-2</v>
      </c>
      <c r="AE23" s="74" t="s">
        <v>14</v>
      </c>
      <c r="AF23" s="74">
        <f>INTERCEPT(AC7:AC80,Z7:Z80)</f>
        <v>-4.8042521859373299E-4</v>
      </c>
      <c r="AG23" s="84" t="s">
        <v>100</v>
      </c>
      <c r="AI23" s="74" t="s">
        <v>34</v>
      </c>
      <c r="AJ23" s="74">
        <f>AF22</f>
        <v>9.7374748269106245E-3</v>
      </c>
      <c r="AL23" s="2">
        <v>17</v>
      </c>
      <c r="AM23" s="9">
        <v>9.49</v>
      </c>
      <c r="AN23" s="9">
        <v>5.9</v>
      </c>
      <c r="AO23" s="2">
        <f t="shared" si="0"/>
        <v>1.1800000000000002</v>
      </c>
      <c r="AP23" s="9">
        <v>15625</v>
      </c>
      <c r="AQ23" s="2">
        <f t="shared" si="8"/>
        <v>9375</v>
      </c>
      <c r="AR23" s="2">
        <f t="shared" si="1"/>
        <v>981.74770424681037</v>
      </c>
      <c r="AS23" s="2">
        <f t="shared" si="2"/>
        <v>11.198200000000002</v>
      </c>
      <c r="AT23" s="2">
        <f t="shared" si="3"/>
        <v>0.22015234054559116</v>
      </c>
      <c r="AU23" s="2">
        <f t="shared" si="4"/>
        <v>10.978047659454411</v>
      </c>
      <c r="AV23" s="2">
        <f t="shared" si="9"/>
        <v>1.1182147523203722E-2</v>
      </c>
    </row>
    <row r="24" spans="2:48" x14ac:dyDescent="0.25">
      <c r="I24" s="2">
        <v>17</v>
      </c>
      <c r="J24" s="64">
        <v>0.21759999999999999</v>
      </c>
      <c r="K24" s="65">
        <v>359.7</v>
      </c>
      <c r="L24" s="43">
        <f>K24*0.6</f>
        <v>215.82</v>
      </c>
      <c r="M24" s="44">
        <f>(2*PI()/60)*L24</f>
        <v>22.600617549924969</v>
      </c>
      <c r="X24" s="2">
        <v>18</v>
      </c>
      <c r="Y24" s="9">
        <v>21.5</v>
      </c>
      <c r="Z24" s="2">
        <f t="shared" si="5"/>
        <v>4.3</v>
      </c>
      <c r="AA24" s="9">
        <v>19</v>
      </c>
      <c r="AB24" s="2">
        <f t="shared" si="6"/>
        <v>0.18632635</v>
      </c>
      <c r="AC24" s="2">
        <f t="shared" si="7"/>
        <v>4.3041386850000009E-2</v>
      </c>
      <c r="AI24" s="74" t="s">
        <v>31</v>
      </c>
      <c r="AJ24" s="74">
        <f>ABS(AJ22-AJ23)</f>
        <v>2.0726317898890102E-4</v>
      </c>
    </row>
    <row r="25" spans="2:48" x14ac:dyDescent="0.25">
      <c r="I25" s="2">
        <v>18</v>
      </c>
      <c r="J25" s="64">
        <v>0.23730000000000001</v>
      </c>
      <c r="K25" s="65">
        <v>393</v>
      </c>
      <c r="L25" s="43">
        <f>K25*0.6</f>
        <v>235.79999999999998</v>
      </c>
      <c r="M25" s="44">
        <f>(2*PI()/60)*L25</f>
        <v>24.692918257215769</v>
      </c>
      <c r="X25" s="2">
        <v>19</v>
      </c>
      <c r="Y25" s="9">
        <v>22.4</v>
      </c>
      <c r="Z25" s="2">
        <f t="shared" si="5"/>
        <v>4.4799999999999995</v>
      </c>
      <c r="AA25" s="9">
        <v>20</v>
      </c>
      <c r="AB25" s="2">
        <f t="shared" si="6"/>
        <v>0.19613299999999997</v>
      </c>
      <c r="AC25" s="2">
        <f t="shared" si="7"/>
        <v>4.5306723E-2</v>
      </c>
      <c r="AI25" s="74" t="s">
        <v>32</v>
      </c>
      <c r="AJ25" s="74">
        <f>AJ24*100</f>
        <v>2.0726317898890102E-2</v>
      </c>
    </row>
    <row r="26" spans="2:48" x14ac:dyDescent="0.25">
      <c r="I26" s="2">
        <v>19</v>
      </c>
      <c r="J26" s="64">
        <v>0.23730000000000001</v>
      </c>
      <c r="K26" s="65">
        <v>400.6</v>
      </c>
      <c r="L26" s="43">
        <f>K26*0.6</f>
        <v>240.36</v>
      </c>
      <c r="M26" s="44">
        <f>(2*PI()/60)*L26</f>
        <v>25.170440340561424</v>
      </c>
      <c r="O26" s="77" t="s">
        <v>98</v>
      </c>
      <c r="P26" s="77"/>
      <c r="X26" s="2">
        <v>20</v>
      </c>
      <c r="Y26" s="9">
        <v>22.9</v>
      </c>
      <c r="Z26" s="2">
        <f t="shared" si="5"/>
        <v>4.58</v>
      </c>
      <c r="AA26" s="9">
        <v>21</v>
      </c>
      <c r="AB26" s="2">
        <f t="shared" si="6"/>
        <v>0.20593965</v>
      </c>
      <c r="AC26" s="2">
        <f t="shared" si="7"/>
        <v>4.7572059149999998E-2</v>
      </c>
      <c r="AE26" s="75" t="s">
        <v>36</v>
      </c>
      <c r="AF26" s="75"/>
      <c r="AG26" s="76">
        <v>20</v>
      </c>
      <c r="AL26" s="77" t="s">
        <v>44</v>
      </c>
      <c r="AM26" s="77"/>
    </row>
    <row r="27" spans="2:48" x14ac:dyDescent="0.25">
      <c r="I27" s="2">
        <v>20</v>
      </c>
      <c r="J27" s="64">
        <v>0.25140000000000001</v>
      </c>
      <c r="K27" s="65">
        <v>421.5</v>
      </c>
      <c r="L27" s="43">
        <f>K27*0.6</f>
        <v>252.89999999999998</v>
      </c>
      <c r="M27" s="44">
        <f>(2*PI()/60)*L27</f>
        <v>26.483626069761954</v>
      </c>
      <c r="O27" s="74" t="s">
        <v>13</v>
      </c>
      <c r="P27" s="86">
        <f>SLOPE(J7:J57,M7:M57)</f>
        <v>9.5302116479217235E-3</v>
      </c>
      <c r="Q27" s="84" t="s">
        <v>99</v>
      </c>
      <c r="X27" s="2">
        <v>21</v>
      </c>
      <c r="Y27" s="9">
        <v>25.3</v>
      </c>
      <c r="Z27" s="2">
        <f t="shared" si="5"/>
        <v>5.0600000000000005</v>
      </c>
      <c r="AA27" s="9">
        <v>22</v>
      </c>
      <c r="AB27" s="2">
        <f t="shared" si="6"/>
        <v>0.2157463</v>
      </c>
      <c r="AC27" s="2">
        <f t="shared" si="7"/>
        <v>4.9837395300000004E-2</v>
      </c>
      <c r="AE27" s="78" t="s">
        <v>37</v>
      </c>
      <c r="AF27" s="78"/>
      <c r="AG27" s="79">
        <v>0.2</v>
      </c>
      <c r="AL27" s="74" t="s">
        <v>45</v>
      </c>
      <c r="AM27" s="74">
        <f>SLOPE(AV7:AV23,AR7:AR23)</f>
        <v>4.4849059609316639E-6</v>
      </c>
      <c r="AO27" s="10"/>
    </row>
    <row r="28" spans="2:48" x14ac:dyDescent="0.25">
      <c r="I28" s="2">
        <v>21</v>
      </c>
      <c r="J28" s="64">
        <v>0.25969999999999999</v>
      </c>
      <c r="K28" s="65">
        <v>425.8</v>
      </c>
      <c r="L28" s="43">
        <f>K28*0.6</f>
        <v>255.48</v>
      </c>
      <c r="M28" s="44">
        <f>(2*PI()/60)*L28</f>
        <v>26.753803037970677</v>
      </c>
      <c r="O28" s="74" t="s">
        <v>14</v>
      </c>
      <c r="P28" s="74">
        <f>INTERCEPT(J7:J57,M7:M57)</f>
        <v>1.1973975646950574E-5</v>
      </c>
      <c r="Q28" s="84" t="s">
        <v>100</v>
      </c>
      <c r="X28" s="2">
        <v>22</v>
      </c>
      <c r="Y28" s="9">
        <v>25.9</v>
      </c>
      <c r="Z28" s="2">
        <f t="shared" si="5"/>
        <v>5.18</v>
      </c>
      <c r="AA28" s="9">
        <v>23</v>
      </c>
      <c r="AB28" s="2">
        <f t="shared" si="6"/>
        <v>0.22555294999999997</v>
      </c>
      <c r="AC28" s="2">
        <f t="shared" si="7"/>
        <v>5.2102731449999995E-2</v>
      </c>
      <c r="AE28" s="78" t="s">
        <v>38</v>
      </c>
      <c r="AF28" s="78"/>
      <c r="AG28" s="79">
        <f>AG26*AJ23</f>
        <v>0.1947494965382125</v>
      </c>
      <c r="AL28" s="74" t="s">
        <v>46</v>
      </c>
      <c r="AM28" s="80">
        <f>INTERCEPT(AV7:AV23,AR7:AR23)</f>
        <v>6.683396585531816E-3</v>
      </c>
      <c r="AO28" s="81"/>
    </row>
    <row r="29" spans="2:48" x14ac:dyDescent="0.25">
      <c r="I29" s="2">
        <v>22</v>
      </c>
      <c r="J29" s="64">
        <v>0.27489999999999998</v>
      </c>
      <c r="K29" s="65">
        <v>456.2</v>
      </c>
      <c r="L29" s="43">
        <f>K29*0.6</f>
        <v>273.71999999999997</v>
      </c>
      <c r="M29" s="44">
        <f>(2*PI()/60)*L29</f>
        <v>28.663891371353269</v>
      </c>
      <c r="X29" s="2">
        <v>23</v>
      </c>
      <c r="Y29" s="9">
        <v>28.2</v>
      </c>
      <c r="Z29" s="2">
        <f t="shared" si="5"/>
        <v>5.64</v>
      </c>
      <c r="AA29" s="9">
        <v>24</v>
      </c>
      <c r="AB29" s="2">
        <f t="shared" si="6"/>
        <v>0.2353596</v>
      </c>
      <c r="AC29" s="2">
        <f t="shared" si="7"/>
        <v>5.4368067600000007E-2</v>
      </c>
      <c r="AE29" s="78" t="s">
        <v>39</v>
      </c>
      <c r="AF29" s="78"/>
      <c r="AG29" s="82">
        <f>ABS(AG27-AG28)</f>
        <v>5.2505034617875146E-3</v>
      </c>
      <c r="AO29" s="81"/>
      <c r="AP29" s="83"/>
    </row>
    <row r="30" spans="2:48" x14ac:dyDescent="0.25">
      <c r="I30" s="2">
        <v>23</v>
      </c>
      <c r="J30" s="64">
        <v>0.27500000000000002</v>
      </c>
      <c r="K30" s="65">
        <v>462.5</v>
      </c>
      <c r="L30" s="43">
        <f>K30*0.6</f>
        <v>277.5</v>
      </c>
      <c r="M30" s="44">
        <f>(2*PI()/60)*L30</f>
        <v>29.059732045705584</v>
      </c>
      <c r="X30" s="2">
        <v>24</v>
      </c>
      <c r="Y30" s="9">
        <v>29.5</v>
      </c>
      <c r="Z30" s="2">
        <f t="shared" si="5"/>
        <v>5.9</v>
      </c>
      <c r="AA30" s="9">
        <v>25</v>
      </c>
      <c r="AB30" s="2">
        <f t="shared" si="6"/>
        <v>0.24516625</v>
      </c>
      <c r="AC30" s="2">
        <f t="shared" si="7"/>
        <v>5.6633403750000005E-2</v>
      </c>
      <c r="AL30" s="74" t="s">
        <v>48</v>
      </c>
      <c r="AM30" s="74">
        <v>34.4</v>
      </c>
    </row>
    <row r="31" spans="2:48" x14ac:dyDescent="0.25">
      <c r="I31" s="2">
        <v>24</v>
      </c>
      <c r="J31" s="64">
        <v>0.27989999999999998</v>
      </c>
      <c r="K31" s="65">
        <v>463.8</v>
      </c>
      <c r="L31" s="43">
        <f>K31*0.6</f>
        <v>278.27999999999997</v>
      </c>
      <c r="M31" s="44">
        <f>(2*PI()/60)*L31</f>
        <v>29.141413454698917</v>
      </c>
      <c r="X31" s="2">
        <v>25</v>
      </c>
      <c r="Y31" s="9">
        <v>29.9</v>
      </c>
      <c r="Z31" s="2">
        <f t="shared" si="5"/>
        <v>5.9799999999999995</v>
      </c>
      <c r="AA31" s="9">
        <v>26</v>
      </c>
      <c r="AB31" s="2">
        <f t="shared" si="6"/>
        <v>0.2549729</v>
      </c>
      <c r="AC31" s="2">
        <f t="shared" si="7"/>
        <v>5.8898739900000011E-2</v>
      </c>
      <c r="AG31" s="72"/>
      <c r="AI31" s="73"/>
      <c r="AJ31" s="73"/>
      <c r="AL31" s="74" t="s">
        <v>49</v>
      </c>
      <c r="AM31" s="74">
        <f>(AM30/1000)*(AM27+(AJ22*AJ23/F17))</f>
        <v>2.0344825848088781E-5</v>
      </c>
    </row>
    <row r="32" spans="2:48" x14ac:dyDescent="0.25">
      <c r="I32" s="2">
        <v>25</v>
      </c>
      <c r="J32" s="64">
        <v>0.29709999999999998</v>
      </c>
      <c r="K32" s="65">
        <v>492.6</v>
      </c>
      <c r="L32" s="43">
        <f>K32*0.6</f>
        <v>295.56</v>
      </c>
      <c r="M32" s="44">
        <f>(2*PI()/60)*L32</f>
        <v>30.950970823166642</v>
      </c>
      <c r="X32" s="2">
        <v>26</v>
      </c>
      <c r="Y32" s="9">
        <v>31.3</v>
      </c>
      <c r="Z32" s="2">
        <f t="shared" si="5"/>
        <v>6.26</v>
      </c>
      <c r="AA32" s="9">
        <v>27</v>
      </c>
      <c r="AB32" s="2">
        <f t="shared" si="6"/>
        <v>0.26477954999999997</v>
      </c>
      <c r="AC32" s="2">
        <f t="shared" si="7"/>
        <v>6.1164076050000002E-2</v>
      </c>
      <c r="AI32" s="68"/>
      <c r="AJ32" s="68"/>
      <c r="AM32" s="72"/>
      <c r="AN32" s="72"/>
      <c r="AP32" s="72"/>
    </row>
    <row r="33" spans="9:49" x14ac:dyDescent="0.25">
      <c r="I33" s="2">
        <v>26</v>
      </c>
      <c r="J33" s="64">
        <v>0.29630000000000001</v>
      </c>
      <c r="K33" s="65">
        <v>495</v>
      </c>
      <c r="L33" s="43">
        <f>K33*0.6</f>
        <v>297</v>
      </c>
      <c r="M33" s="44">
        <f>(2*PI()/60)*L33</f>
        <v>31.10176727053895</v>
      </c>
      <c r="X33" s="2">
        <v>27</v>
      </c>
      <c r="Y33" s="9">
        <v>32.700000000000003</v>
      </c>
      <c r="Z33" s="2">
        <f t="shared" si="5"/>
        <v>6.5400000000000009</v>
      </c>
      <c r="AA33" s="9">
        <v>28</v>
      </c>
      <c r="AB33" s="2">
        <f t="shared" si="6"/>
        <v>0.27458619999999995</v>
      </c>
      <c r="AC33" s="2">
        <f t="shared" si="7"/>
        <v>6.3429412199999993E-2</v>
      </c>
      <c r="AI33" s="68"/>
      <c r="AJ33" s="68"/>
      <c r="AM33" s="69"/>
      <c r="AN33" s="70"/>
      <c r="AT33" s="71"/>
    </row>
    <row r="34" spans="9:49" x14ac:dyDescent="0.25">
      <c r="I34" s="2">
        <v>27</v>
      </c>
      <c r="J34" s="64">
        <v>0.29699999999999999</v>
      </c>
      <c r="K34" s="65">
        <v>495.5</v>
      </c>
      <c r="L34" s="43">
        <f>K34*0.6</f>
        <v>297.3</v>
      </c>
      <c r="M34" s="44">
        <f>(2*PI()/60)*L34</f>
        <v>31.13318319707485</v>
      </c>
      <c r="X34" s="2">
        <v>28</v>
      </c>
      <c r="Y34" s="9">
        <v>33.799999999999997</v>
      </c>
      <c r="Z34" s="2">
        <f t="shared" si="5"/>
        <v>6.76</v>
      </c>
      <c r="AA34" s="9">
        <v>29</v>
      </c>
      <c r="AB34" s="2">
        <f t="shared" si="6"/>
        <v>0.28439285000000003</v>
      </c>
      <c r="AC34" s="2">
        <f t="shared" si="7"/>
        <v>6.5694748350000012E-2</v>
      </c>
      <c r="AI34" s="68"/>
      <c r="AJ34" s="68"/>
    </row>
    <row r="35" spans="9:49" x14ac:dyDescent="0.25">
      <c r="I35" s="2">
        <v>28</v>
      </c>
      <c r="J35" s="64">
        <v>0.33729999999999999</v>
      </c>
      <c r="K35" s="65">
        <v>565.6</v>
      </c>
      <c r="L35" s="43">
        <f>K35*0.6</f>
        <v>339.36</v>
      </c>
      <c r="M35" s="44">
        <f>(2*PI()/60)*L35</f>
        <v>35.537696097407739</v>
      </c>
      <c r="X35" s="2">
        <v>29</v>
      </c>
      <c r="Y35" s="9">
        <v>34.200000000000003</v>
      </c>
      <c r="Z35" s="2">
        <f t="shared" si="5"/>
        <v>6.8400000000000007</v>
      </c>
      <c r="AA35" s="9">
        <v>30</v>
      </c>
      <c r="AB35" s="2">
        <f t="shared" si="6"/>
        <v>0.2941995</v>
      </c>
      <c r="AC35" s="2">
        <f t="shared" si="7"/>
        <v>6.7960084500000004E-2</v>
      </c>
      <c r="AW35" s="72"/>
    </row>
    <row r="36" spans="9:49" x14ac:dyDescent="0.25">
      <c r="I36" s="2">
        <v>29</v>
      </c>
      <c r="J36" s="64">
        <v>0.38479999999999998</v>
      </c>
      <c r="K36" s="65">
        <v>636.1</v>
      </c>
      <c r="L36" s="43">
        <f>K36*0.6</f>
        <v>381.66</v>
      </c>
      <c r="M36" s="44">
        <f>(2*PI()/60)*L36</f>
        <v>39.967341738969345</v>
      </c>
      <c r="X36" s="2">
        <v>30</v>
      </c>
      <c r="Y36" s="9">
        <v>35.4</v>
      </c>
      <c r="Z36" s="2">
        <f t="shared" si="5"/>
        <v>7.08</v>
      </c>
      <c r="AA36" s="9">
        <v>31</v>
      </c>
      <c r="AB36" s="2">
        <f t="shared" si="6"/>
        <v>0.30400614999999998</v>
      </c>
      <c r="AC36" s="2">
        <f t="shared" si="7"/>
        <v>7.0225420649999995E-2</v>
      </c>
    </row>
    <row r="37" spans="9:49" x14ac:dyDescent="0.25">
      <c r="I37" s="2">
        <v>30</v>
      </c>
      <c r="J37" s="64">
        <v>0.38690000000000002</v>
      </c>
      <c r="K37" s="65">
        <v>643.6</v>
      </c>
      <c r="L37" s="43">
        <f>K37*0.6</f>
        <v>386.16</v>
      </c>
      <c r="M37" s="44">
        <f>(2*PI()/60)*L37</f>
        <v>40.438580637007817</v>
      </c>
      <c r="X37" s="2">
        <v>31</v>
      </c>
      <c r="Y37" s="9">
        <v>37.299999999999997</v>
      </c>
      <c r="Z37" s="2">
        <f t="shared" si="5"/>
        <v>7.4599999999999991</v>
      </c>
      <c r="AA37" s="9">
        <v>32</v>
      </c>
      <c r="AB37" s="2">
        <f t="shared" si="6"/>
        <v>0.3138128</v>
      </c>
      <c r="AC37" s="2">
        <f t="shared" si="7"/>
        <v>7.24907568E-2</v>
      </c>
    </row>
    <row r="38" spans="9:49" x14ac:dyDescent="0.25">
      <c r="I38" s="2">
        <v>31</v>
      </c>
      <c r="J38" s="64">
        <v>0.43780000000000002</v>
      </c>
      <c r="K38" s="65">
        <v>735.2</v>
      </c>
      <c r="L38" s="43">
        <f>K38*0.6</f>
        <v>441.12</v>
      </c>
      <c r="M38" s="44">
        <f>(2*PI()/60)*L38</f>
        <v>46.193978378384315</v>
      </c>
      <c r="X38" s="2">
        <v>32</v>
      </c>
      <c r="Y38" s="9">
        <v>38.700000000000003</v>
      </c>
      <c r="Z38" s="2">
        <f t="shared" si="5"/>
        <v>7.74</v>
      </c>
      <c r="AA38" s="9">
        <v>33</v>
      </c>
      <c r="AB38" s="2">
        <f t="shared" si="6"/>
        <v>0.32361944999999998</v>
      </c>
      <c r="AC38" s="2">
        <f t="shared" si="7"/>
        <v>7.4756092950000005E-2</v>
      </c>
    </row>
    <row r="39" spans="9:49" x14ac:dyDescent="0.25">
      <c r="I39" s="2">
        <v>32</v>
      </c>
      <c r="J39" s="64">
        <v>0.443</v>
      </c>
      <c r="K39" s="65">
        <v>738.5</v>
      </c>
      <c r="L39" s="43">
        <f>K39*0.6</f>
        <v>443.09999999999997</v>
      </c>
      <c r="M39" s="44">
        <f>(2*PI()/60)*L39</f>
        <v>46.40132349352124</v>
      </c>
      <c r="X39" s="2">
        <v>33</v>
      </c>
      <c r="Y39" s="9">
        <v>40.200000000000003</v>
      </c>
      <c r="Z39" s="2">
        <f t="shared" si="5"/>
        <v>8.0400000000000009</v>
      </c>
      <c r="AA39" s="9">
        <v>34</v>
      </c>
      <c r="AB39" s="2">
        <f t="shared" si="6"/>
        <v>0.33342609999999995</v>
      </c>
      <c r="AC39" s="2">
        <f t="shared" si="7"/>
        <v>7.7021429099999997E-2</v>
      </c>
    </row>
    <row r="40" spans="9:49" x14ac:dyDescent="0.25">
      <c r="I40" s="2">
        <v>33</v>
      </c>
      <c r="J40" s="64">
        <v>0.47699999999999998</v>
      </c>
      <c r="K40" s="65">
        <v>792.3</v>
      </c>
      <c r="L40" s="43">
        <f>K40*0.6</f>
        <v>475.37999999999994</v>
      </c>
      <c r="M40" s="44">
        <f>(2*PI()/60)*L40</f>
        <v>49.781677188783853</v>
      </c>
      <c r="X40" s="2">
        <v>34</v>
      </c>
      <c r="Y40" s="9">
        <v>40.799999999999997</v>
      </c>
      <c r="Z40" s="2">
        <f t="shared" si="5"/>
        <v>8.16</v>
      </c>
      <c r="AA40" s="9">
        <v>35</v>
      </c>
      <c r="AB40" s="2">
        <f t="shared" si="6"/>
        <v>0.34323274999999998</v>
      </c>
      <c r="AC40" s="2">
        <f t="shared" si="7"/>
        <v>7.9286765250000002E-2</v>
      </c>
    </row>
    <row r="41" spans="9:49" x14ac:dyDescent="0.25">
      <c r="I41" s="2">
        <v>34</v>
      </c>
      <c r="J41" s="64">
        <v>0.47499999999999998</v>
      </c>
      <c r="K41" s="65">
        <v>793.6</v>
      </c>
      <c r="L41" s="43">
        <f>K41*0.6</f>
        <v>476.15999999999997</v>
      </c>
      <c r="M41" s="44">
        <f>(2*PI()/60)*L41</f>
        <v>49.863358597777193</v>
      </c>
      <c r="X41" s="2">
        <v>35</v>
      </c>
      <c r="Y41" s="9">
        <v>42.5</v>
      </c>
      <c r="Z41" s="2">
        <f t="shared" si="5"/>
        <v>8.5</v>
      </c>
      <c r="AA41" s="9">
        <v>36</v>
      </c>
      <c r="AB41" s="2">
        <f t="shared" si="6"/>
        <v>0.3530394</v>
      </c>
      <c r="AC41" s="2">
        <f t="shared" si="7"/>
        <v>8.1552101400000007E-2</v>
      </c>
    </row>
    <row r="42" spans="9:49" x14ac:dyDescent="0.25">
      <c r="I42" s="2">
        <v>35</v>
      </c>
      <c r="J42" s="64">
        <v>0.52410000000000001</v>
      </c>
      <c r="K42" s="65">
        <v>875.6</v>
      </c>
      <c r="L42" s="43">
        <f>K42*0.6</f>
        <v>525.36</v>
      </c>
      <c r="M42" s="44">
        <f>(2*PI()/60)*L42</f>
        <v>55.015570549664453</v>
      </c>
      <c r="X42" s="2">
        <v>36</v>
      </c>
      <c r="Y42" s="9">
        <v>42.7</v>
      </c>
      <c r="Z42" s="2">
        <f t="shared" si="5"/>
        <v>8.5400000000000009</v>
      </c>
      <c r="AA42" s="9">
        <v>37</v>
      </c>
      <c r="AB42" s="2">
        <f t="shared" si="6"/>
        <v>0.36284604999999998</v>
      </c>
      <c r="AC42" s="2">
        <f t="shared" si="7"/>
        <v>8.3817437549999999E-2</v>
      </c>
    </row>
    <row r="43" spans="9:49" x14ac:dyDescent="0.25">
      <c r="I43" s="2">
        <v>36</v>
      </c>
      <c r="J43" s="64">
        <v>0.60599999999999998</v>
      </c>
      <c r="K43" s="65">
        <v>1010</v>
      </c>
      <c r="L43" s="43">
        <f>K43*0.6</f>
        <v>606</v>
      </c>
      <c r="M43" s="44">
        <f>(2*PI()/60)*L43</f>
        <v>63.460171602513817</v>
      </c>
      <c r="X43" s="2">
        <v>37</v>
      </c>
      <c r="Y43" s="9">
        <v>43.9</v>
      </c>
      <c r="Z43" s="2">
        <f t="shared" si="5"/>
        <v>8.7799999999999994</v>
      </c>
      <c r="AA43" s="9">
        <v>38</v>
      </c>
      <c r="AB43" s="2">
        <f t="shared" si="6"/>
        <v>0.3726527</v>
      </c>
      <c r="AC43" s="2">
        <f t="shared" si="7"/>
        <v>8.6082773700000018E-2</v>
      </c>
    </row>
    <row r="44" spans="9:49" x14ac:dyDescent="0.25">
      <c r="I44" s="2">
        <v>37</v>
      </c>
      <c r="J44" s="64">
        <v>0.61699999999999999</v>
      </c>
      <c r="K44" s="65">
        <v>1030</v>
      </c>
      <c r="L44" s="43">
        <f>K44*0.6</f>
        <v>618</v>
      </c>
      <c r="M44" s="44">
        <f>(2*PI()/60)*L44</f>
        <v>64.716808663949735</v>
      </c>
      <c r="X44" s="2">
        <v>38</v>
      </c>
      <c r="Y44" s="9">
        <v>45.4</v>
      </c>
      <c r="Z44" s="2">
        <f t="shared" si="5"/>
        <v>9.08</v>
      </c>
      <c r="AA44" s="9">
        <v>39</v>
      </c>
      <c r="AB44" s="2">
        <f t="shared" si="6"/>
        <v>0.38245934999999998</v>
      </c>
      <c r="AC44" s="2">
        <f t="shared" si="7"/>
        <v>8.8348109850000009E-2</v>
      </c>
    </row>
    <row r="45" spans="9:49" x14ac:dyDescent="0.25">
      <c r="I45" s="2">
        <v>38</v>
      </c>
      <c r="J45" s="64">
        <v>0.61899999999999999</v>
      </c>
      <c r="K45" s="65">
        <v>1040</v>
      </c>
      <c r="L45" s="43">
        <f>K45*0.6</f>
        <v>624</v>
      </c>
      <c r="M45" s="44">
        <f>(2*PI()/60)*L45</f>
        <v>65.345127194667697</v>
      </c>
      <c r="X45" s="2">
        <v>39</v>
      </c>
      <c r="Y45" s="9">
        <v>46.8</v>
      </c>
      <c r="Z45" s="2">
        <f t="shared" si="5"/>
        <v>9.36</v>
      </c>
      <c r="AA45" s="9">
        <v>40</v>
      </c>
      <c r="AB45" s="2">
        <f t="shared" si="6"/>
        <v>0.39226599999999995</v>
      </c>
      <c r="AC45" s="2">
        <f t="shared" si="7"/>
        <v>9.0613446E-2</v>
      </c>
    </row>
    <row r="46" spans="9:49" x14ac:dyDescent="0.25">
      <c r="I46" s="2">
        <v>39</v>
      </c>
      <c r="J46" s="64">
        <v>0.625</v>
      </c>
      <c r="K46" s="65">
        <v>1070</v>
      </c>
      <c r="L46" s="43">
        <f>K46*0.6</f>
        <v>642</v>
      </c>
      <c r="M46" s="44">
        <f>(2*PI()/60)*L46</f>
        <v>67.230082786821569</v>
      </c>
      <c r="X46" s="2">
        <v>40</v>
      </c>
      <c r="Y46" s="9">
        <v>47.2</v>
      </c>
      <c r="Z46" s="2">
        <f t="shared" si="5"/>
        <v>9.4400000000000013</v>
      </c>
      <c r="AA46" s="9">
        <v>41</v>
      </c>
      <c r="AB46" s="2">
        <f t="shared" si="6"/>
        <v>0.40207264999999998</v>
      </c>
      <c r="AC46" s="2">
        <f t="shared" si="7"/>
        <v>9.2878782149999992E-2</v>
      </c>
    </row>
    <row r="47" spans="9:49" x14ac:dyDescent="0.25">
      <c r="I47" s="2">
        <v>40</v>
      </c>
      <c r="J47" s="64">
        <v>0.68200000000000005</v>
      </c>
      <c r="K47" s="65">
        <v>1150</v>
      </c>
      <c r="L47" s="43">
        <f>K47*0.6</f>
        <v>690</v>
      </c>
      <c r="M47" s="44">
        <f>(2*PI()/60)*L47</f>
        <v>72.256631032565238</v>
      </c>
      <c r="X47" s="2">
        <v>41</v>
      </c>
      <c r="Y47" s="9">
        <v>50</v>
      </c>
      <c r="Z47" s="2">
        <f t="shared" si="5"/>
        <v>10</v>
      </c>
      <c r="AA47" s="9">
        <v>42</v>
      </c>
      <c r="AB47" s="2">
        <f t="shared" si="6"/>
        <v>0.4118793</v>
      </c>
      <c r="AC47" s="2">
        <f t="shared" si="7"/>
        <v>9.5144118299999997E-2</v>
      </c>
    </row>
    <row r="48" spans="9:49" x14ac:dyDescent="0.25">
      <c r="I48" s="2">
        <v>41</v>
      </c>
      <c r="J48" s="64">
        <v>0.751</v>
      </c>
      <c r="K48" s="65">
        <v>1240</v>
      </c>
      <c r="L48" s="43">
        <f>K48*0.6</f>
        <v>744</v>
      </c>
      <c r="M48" s="44">
        <f>(2*PI()/60)*L48</f>
        <v>77.911497809026869</v>
      </c>
      <c r="X48" s="2">
        <v>42</v>
      </c>
      <c r="Y48" s="9">
        <v>51.1</v>
      </c>
      <c r="Z48" s="2">
        <f t="shared" si="5"/>
        <v>10.220000000000001</v>
      </c>
      <c r="AA48" s="9">
        <v>43</v>
      </c>
      <c r="AB48" s="2">
        <f t="shared" si="6"/>
        <v>0.42168594999999998</v>
      </c>
      <c r="AC48" s="2">
        <f t="shared" si="7"/>
        <v>9.7409454449999988E-2</v>
      </c>
    </row>
    <row r="49" spans="9:29" x14ac:dyDescent="0.25">
      <c r="I49" s="2">
        <v>42</v>
      </c>
      <c r="J49" s="64">
        <v>0.752</v>
      </c>
      <c r="K49" s="65">
        <v>1250</v>
      </c>
      <c r="L49" s="43">
        <f>K49*0.6</f>
        <v>750</v>
      </c>
      <c r="M49" s="44">
        <f>(2*PI()/60)*L49</f>
        <v>78.539816339744831</v>
      </c>
      <c r="X49" s="2">
        <v>43</v>
      </c>
      <c r="Y49" s="9">
        <v>51.3</v>
      </c>
      <c r="Z49" s="2">
        <f t="shared" si="5"/>
        <v>10.26</v>
      </c>
      <c r="AA49" s="9">
        <v>44</v>
      </c>
      <c r="AB49" s="2">
        <f t="shared" si="6"/>
        <v>0.4314926</v>
      </c>
      <c r="AC49" s="2">
        <f t="shared" si="7"/>
        <v>9.9674790600000007E-2</v>
      </c>
    </row>
    <row r="50" spans="9:29" x14ac:dyDescent="0.25">
      <c r="I50" s="2">
        <v>43</v>
      </c>
      <c r="J50" s="64">
        <v>0.79200000000000004</v>
      </c>
      <c r="K50" s="65">
        <v>1310</v>
      </c>
      <c r="L50" s="43">
        <f>K50*0.6</f>
        <v>786</v>
      </c>
      <c r="M50" s="44">
        <f>(2*PI()/60)*L50</f>
        <v>82.309727524052576</v>
      </c>
      <c r="X50" s="2">
        <v>44</v>
      </c>
      <c r="Y50" s="9">
        <v>52.9</v>
      </c>
      <c r="Z50" s="2">
        <f t="shared" si="5"/>
        <v>10.58</v>
      </c>
      <c r="AA50" s="9">
        <v>45</v>
      </c>
      <c r="AB50" s="2">
        <f t="shared" si="6"/>
        <v>0.44129924999999998</v>
      </c>
      <c r="AC50" s="2">
        <f t="shared" si="7"/>
        <v>0.10194012675</v>
      </c>
    </row>
    <row r="51" spans="9:29" x14ac:dyDescent="0.25">
      <c r="I51" s="2">
        <v>44</v>
      </c>
      <c r="J51" s="64">
        <v>0.97099999999999997</v>
      </c>
      <c r="K51" s="65">
        <v>1610</v>
      </c>
      <c r="L51" s="43">
        <f>K51*0.6</f>
        <v>966</v>
      </c>
      <c r="M51" s="44">
        <f>(2*PI()/60)*L51</f>
        <v>101.15928344559133</v>
      </c>
      <c r="X51" s="2">
        <v>45</v>
      </c>
      <c r="Y51" s="9">
        <v>54.8</v>
      </c>
      <c r="Z51" s="2">
        <f t="shared" si="5"/>
        <v>10.959999999999999</v>
      </c>
      <c r="AA51" s="9">
        <v>46</v>
      </c>
      <c r="AB51" s="2">
        <f t="shared" si="6"/>
        <v>0.45110589999999995</v>
      </c>
      <c r="AC51" s="2">
        <f t="shared" si="7"/>
        <v>0.10420546289999999</v>
      </c>
    </row>
    <row r="52" spans="9:29" x14ac:dyDescent="0.25">
      <c r="I52" s="2">
        <v>45</v>
      </c>
      <c r="J52" s="64">
        <v>0.97399999999999998</v>
      </c>
      <c r="K52" s="65">
        <v>1650</v>
      </c>
      <c r="L52" s="43">
        <f>K52*0.6</f>
        <v>990</v>
      </c>
      <c r="M52" s="44">
        <f>(2*PI()/60)*L52</f>
        <v>103.67255756846316</v>
      </c>
      <c r="X52" s="2">
        <v>46</v>
      </c>
      <c r="Y52" s="9">
        <v>55.7</v>
      </c>
      <c r="Z52" s="2">
        <f t="shared" si="5"/>
        <v>11.14</v>
      </c>
      <c r="AA52" s="9">
        <v>47</v>
      </c>
      <c r="AB52" s="2">
        <f t="shared" si="6"/>
        <v>0.46091254999999998</v>
      </c>
      <c r="AC52" s="2">
        <f t="shared" si="7"/>
        <v>0.10647079905</v>
      </c>
    </row>
    <row r="53" spans="9:29" x14ac:dyDescent="0.25">
      <c r="I53" s="2">
        <v>46</v>
      </c>
      <c r="J53" s="64">
        <v>1.036</v>
      </c>
      <c r="K53" s="65">
        <v>1710</v>
      </c>
      <c r="L53" s="43">
        <f>K53*0.6</f>
        <v>1026</v>
      </c>
      <c r="M53" s="44">
        <f>(2*PI()/60)*L53</f>
        <v>107.44246875277092</v>
      </c>
      <c r="X53" s="2">
        <v>47</v>
      </c>
      <c r="Y53" s="9">
        <v>57.5</v>
      </c>
      <c r="Z53" s="2">
        <f t="shared" si="5"/>
        <v>11.5</v>
      </c>
      <c r="AA53" s="9">
        <v>48</v>
      </c>
      <c r="AB53" s="2">
        <f t="shared" si="6"/>
        <v>0.4707192</v>
      </c>
      <c r="AC53" s="2">
        <f t="shared" si="7"/>
        <v>0.10873613520000001</v>
      </c>
    </row>
    <row r="54" spans="9:29" x14ac:dyDescent="0.25">
      <c r="I54" s="2">
        <v>47</v>
      </c>
      <c r="J54" s="64">
        <v>1.0389999999999999</v>
      </c>
      <c r="K54" s="65">
        <v>1750</v>
      </c>
      <c r="L54" s="43">
        <f>K54*0.6</f>
        <v>1050</v>
      </c>
      <c r="M54" s="44">
        <f>(2*PI()/60)*L54</f>
        <v>109.95574287564276</v>
      </c>
      <c r="X54" s="2">
        <v>48</v>
      </c>
      <c r="Y54" s="9">
        <v>58</v>
      </c>
      <c r="Z54" s="2">
        <f t="shared" si="5"/>
        <v>11.6</v>
      </c>
      <c r="AA54" s="9">
        <v>49</v>
      </c>
      <c r="AB54" s="2">
        <f t="shared" si="6"/>
        <v>0.48052584999999998</v>
      </c>
      <c r="AC54" s="2">
        <f t="shared" si="7"/>
        <v>0.11100147135000001</v>
      </c>
    </row>
    <row r="55" spans="9:29" x14ac:dyDescent="0.25">
      <c r="I55" s="2">
        <v>48</v>
      </c>
      <c r="J55" s="64">
        <v>1.107</v>
      </c>
      <c r="K55" s="65">
        <v>1850</v>
      </c>
      <c r="L55" s="43">
        <f>K55*0.6</f>
        <v>1110</v>
      </c>
      <c r="M55" s="44">
        <f>(2*PI()/60)*L55</f>
        <v>116.23892818282233</v>
      </c>
      <c r="X55" s="2">
        <v>49</v>
      </c>
      <c r="Y55" s="9">
        <v>59.1</v>
      </c>
      <c r="Z55" s="2">
        <f t="shared" si="5"/>
        <v>11.82</v>
      </c>
      <c r="AA55" s="9">
        <v>50</v>
      </c>
      <c r="AB55" s="2">
        <f t="shared" si="6"/>
        <v>0.4903325</v>
      </c>
      <c r="AC55" s="2">
        <f t="shared" si="7"/>
        <v>0.11326680750000001</v>
      </c>
    </row>
    <row r="56" spans="9:29" x14ac:dyDescent="0.25">
      <c r="I56" s="2">
        <v>49</v>
      </c>
      <c r="J56" s="64">
        <v>1.1559999999999999</v>
      </c>
      <c r="K56" s="65">
        <v>1940</v>
      </c>
      <c r="L56" s="43">
        <f>K56*0.6</f>
        <v>1164</v>
      </c>
      <c r="M56" s="44">
        <f>(2*PI()/60)*L56</f>
        <v>121.89379495928397</v>
      </c>
      <c r="X56" s="2">
        <v>50</v>
      </c>
      <c r="Y56" s="9">
        <v>59.4</v>
      </c>
      <c r="Z56" s="2">
        <f t="shared" si="5"/>
        <v>11.879999999999999</v>
      </c>
      <c r="AA56" s="9">
        <v>51</v>
      </c>
      <c r="AB56" s="2">
        <f t="shared" si="6"/>
        <v>0.50013914999999998</v>
      </c>
      <c r="AC56" s="2">
        <f t="shared" si="7"/>
        <v>0.11553214365</v>
      </c>
    </row>
    <row r="57" spans="9:29" x14ac:dyDescent="0.25">
      <c r="I57" s="2">
        <v>50</v>
      </c>
      <c r="J57" s="64">
        <v>1.331</v>
      </c>
      <c r="K57" s="65">
        <v>2210</v>
      </c>
      <c r="L57" s="43">
        <f t="shared" ref="L57" si="10">K57*0.6</f>
        <v>1326</v>
      </c>
      <c r="M57" s="44">
        <f t="shared" ref="M57" si="11">(2*PI()/60)*L57</f>
        <v>138.85839528866885</v>
      </c>
      <c r="X57" s="2">
        <v>51</v>
      </c>
      <c r="Y57" s="9">
        <v>61.3</v>
      </c>
      <c r="Z57" s="2">
        <f t="shared" si="5"/>
        <v>12.26</v>
      </c>
      <c r="AA57" s="9">
        <v>52</v>
      </c>
      <c r="AB57" s="2">
        <f t="shared" si="6"/>
        <v>0.5099458</v>
      </c>
      <c r="AC57" s="2">
        <f t="shared" si="7"/>
        <v>0.11779747980000002</v>
      </c>
    </row>
    <row r="58" spans="9:29" x14ac:dyDescent="0.25">
      <c r="X58" s="2">
        <v>52</v>
      </c>
      <c r="Y58" s="9">
        <v>61.7</v>
      </c>
      <c r="Z58" s="2">
        <f t="shared" si="5"/>
        <v>12.34</v>
      </c>
      <c r="AA58" s="9">
        <v>53</v>
      </c>
      <c r="AB58" s="2">
        <f t="shared" si="6"/>
        <v>0.51975244999999992</v>
      </c>
      <c r="AC58" s="2">
        <f t="shared" si="7"/>
        <v>0.12006281594999998</v>
      </c>
    </row>
    <row r="59" spans="9:29" x14ac:dyDescent="0.25">
      <c r="X59" s="2">
        <v>53</v>
      </c>
      <c r="Y59" s="9">
        <v>63.8</v>
      </c>
      <c r="Z59" s="2">
        <f t="shared" si="5"/>
        <v>12.76</v>
      </c>
      <c r="AA59" s="9">
        <v>54</v>
      </c>
      <c r="AB59" s="2">
        <f t="shared" si="6"/>
        <v>0.52955909999999995</v>
      </c>
      <c r="AC59" s="2">
        <f t="shared" si="7"/>
        <v>0.1223281521</v>
      </c>
    </row>
    <row r="60" spans="9:29" x14ac:dyDescent="0.25">
      <c r="X60" s="2">
        <v>54</v>
      </c>
      <c r="Y60" s="9">
        <v>64</v>
      </c>
      <c r="Z60" s="2">
        <f t="shared" si="5"/>
        <v>12.8</v>
      </c>
      <c r="AA60" s="9">
        <v>55</v>
      </c>
      <c r="AB60" s="2">
        <f t="shared" si="6"/>
        <v>0.53936574999999998</v>
      </c>
      <c r="AC60" s="2">
        <f t="shared" si="7"/>
        <v>0.12459348825000001</v>
      </c>
    </row>
    <row r="61" spans="9:29" x14ac:dyDescent="0.25">
      <c r="X61" s="2">
        <v>55</v>
      </c>
      <c r="Y61" s="9">
        <v>65.2</v>
      </c>
      <c r="Z61" s="2">
        <f t="shared" si="5"/>
        <v>13.040000000000001</v>
      </c>
      <c r="AA61" s="9">
        <v>56</v>
      </c>
      <c r="AB61" s="2">
        <f t="shared" si="6"/>
        <v>0.54917239999999989</v>
      </c>
      <c r="AC61" s="2">
        <f t="shared" si="7"/>
        <v>0.12685882439999999</v>
      </c>
    </row>
    <row r="62" spans="9:29" x14ac:dyDescent="0.25">
      <c r="X62" s="2">
        <v>56</v>
      </c>
      <c r="Y62" s="9">
        <v>66.099999999999994</v>
      </c>
      <c r="Z62" s="2">
        <f t="shared" si="5"/>
        <v>13.219999999999999</v>
      </c>
      <c r="AA62" s="9">
        <v>57</v>
      </c>
      <c r="AB62" s="2">
        <f t="shared" si="6"/>
        <v>0.55897904999999992</v>
      </c>
      <c r="AC62" s="2">
        <f t="shared" si="7"/>
        <v>0.12912416055000001</v>
      </c>
    </row>
    <row r="63" spans="9:29" x14ac:dyDescent="0.25">
      <c r="X63" s="2">
        <v>57</v>
      </c>
      <c r="Y63" s="9">
        <v>67.900000000000006</v>
      </c>
      <c r="Z63" s="2">
        <f t="shared" si="5"/>
        <v>13.580000000000002</v>
      </c>
      <c r="AA63" s="9">
        <v>58</v>
      </c>
      <c r="AB63" s="2">
        <f t="shared" si="6"/>
        <v>0.56878570000000006</v>
      </c>
      <c r="AC63" s="2">
        <f t="shared" si="7"/>
        <v>0.13138949670000002</v>
      </c>
    </row>
    <row r="64" spans="9:29" x14ac:dyDescent="0.25">
      <c r="X64" s="2">
        <v>58</v>
      </c>
      <c r="Y64" s="9">
        <v>68.400000000000006</v>
      </c>
      <c r="Z64" s="2">
        <f t="shared" si="5"/>
        <v>13.680000000000001</v>
      </c>
      <c r="AA64" s="9">
        <v>59</v>
      </c>
      <c r="AB64" s="2">
        <f t="shared" si="6"/>
        <v>0.57859234999999998</v>
      </c>
      <c r="AC64" s="2">
        <f t="shared" si="7"/>
        <v>0.13365483284999999</v>
      </c>
    </row>
    <row r="65" spans="24:29" x14ac:dyDescent="0.25">
      <c r="X65" s="2">
        <v>59</v>
      </c>
      <c r="Y65" s="9">
        <v>69.7</v>
      </c>
      <c r="Z65" s="2">
        <f t="shared" si="5"/>
        <v>13.940000000000001</v>
      </c>
      <c r="AA65" s="9">
        <v>60</v>
      </c>
      <c r="AB65" s="2">
        <f t="shared" si="6"/>
        <v>0.58839900000000001</v>
      </c>
      <c r="AC65" s="2">
        <f t="shared" si="7"/>
        <v>0.13592016900000001</v>
      </c>
    </row>
    <row r="66" spans="24:29" x14ac:dyDescent="0.25">
      <c r="X66" s="2">
        <v>60</v>
      </c>
      <c r="Y66" s="9">
        <v>72.8</v>
      </c>
      <c r="Z66" s="2">
        <f t="shared" si="5"/>
        <v>14.559999999999999</v>
      </c>
      <c r="AA66" s="9">
        <v>61</v>
      </c>
      <c r="AB66" s="2">
        <f t="shared" si="6"/>
        <v>0.59820565000000003</v>
      </c>
      <c r="AC66" s="2">
        <f t="shared" si="7"/>
        <v>0.13818550515000003</v>
      </c>
    </row>
    <row r="67" spans="24:29" x14ac:dyDescent="0.25">
      <c r="X67" s="2">
        <v>61</v>
      </c>
      <c r="Y67" s="9">
        <v>73.2</v>
      </c>
      <c r="Z67" s="2">
        <f t="shared" si="5"/>
        <v>14.64</v>
      </c>
      <c r="AA67" s="9">
        <v>62</v>
      </c>
      <c r="AB67" s="2">
        <f t="shared" si="6"/>
        <v>0.60801229999999995</v>
      </c>
      <c r="AC67" s="2">
        <f t="shared" si="7"/>
        <v>0.14045084129999999</v>
      </c>
    </row>
    <row r="68" spans="24:29" x14ac:dyDescent="0.25">
      <c r="X68" s="2">
        <v>62</v>
      </c>
      <c r="Y68" s="9">
        <v>73.5</v>
      </c>
      <c r="Z68" s="2">
        <f t="shared" si="5"/>
        <v>14.7</v>
      </c>
      <c r="AA68" s="9">
        <v>63</v>
      </c>
      <c r="AB68" s="2">
        <f t="shared" si="6"/>
        <v>0.61781894999999998</v>
      </c>
      <c r="AC68" s="2">
        <f t="shared" si="7"/>
        <v>0.14271617745000001</v>
      </c>
    </row>
    <row r="69" spans="24:29" x14ac:dyDescent="0.25">
      <c r="X69" s="2">
        <v>63</v>
      </c>
      <c r="Y69" s="9">
        <v>74</v>
      </c>
      <c r="Z69" s="2">
        <f t="shared" si="5"/>
        <v>14.8</v>
      </c>
      <c r="AA69" s="9">
        <v>64</v>
      </c>
      <c r="AB69" s="2">
        <f t="shared" si="6"/>
        <v>0.62762560000000001</v>
      </c>
      <c r="AC69" s="2">
        <f t="shared" si="7"/>
        <v>0.1449815136</v>
      </c>
    </row>
    <row r="70" spans="24:29" x14ac:dyDescent="0.25">
      <c r="X70" s="2">
        <v>64</v>
      </c>
      <c r="Y70" s="9">
        <v>75.5</v>
      </c>
      <c r="Z70" s="2">
        <f t="shared" si="5"/>
        <v>15.1</v>
      </c>
      <c r="AA70" s="9">
        <v>65</v>
      </c>
      <c r="AB70" s="2">
        <f t="shared" si="6"/>
        <v>0.63743224999999992</v>
      </c>
      <c r="AC70" s="2">
        <f t="shared" si="7"/>
        <v>0.14724684974999999</v>
      </c>
    </row>
    <row r="71" spans="24:29" x14ac:dyDescent="0.25">
      <c r="X71" s="2">
        <v>65</v>
      </c>
      <c r="Y71" s="9">
        <v>76.8</v>
      </c>
      <c r="Z71" s="2">
        <f t="shared" si="5"/>
        <v>15.36</v>
      </c>
      <c r="AA71" s="9">
        <v>66</v>
      </c>
      <c r="AB71" s="2">
        <f t="shared" si="6"/>
        <v>0.64723889999999995</v>
      </c>
      <c r="AC71" s="2">
        <f t="shared" si="7"/>
        <v>0.14951218590000001</v>
      </c>
    </row>
    <row r="72" spans="24:29" x14ac:dyDescent="0.25">
      <c r="X72" s="2">
        <v>66</v>
      </c>
      <c r="Y72" s="9">
        <v>77.099999999999994</v>
      </c>
      <c r="Z72" s="2">
        <f t="shared" ref="Z72:Z80" si="12">Y72/5</f>
        <v>15.419999999999998</v>
      </c>
      <c r="AA72" s="9">
        <v>67</v>
      </c>
      <c r="AB72" s="2">
        <f t="shared" ref="AB72:AB80" si="13">AA72*9.80665/1000</f>
        <v>0.65704554999999998</v>
      </c>
      <c r="AC72" s="2">
        <f t="shared" ref="AC72:AC80" si="14">AB72*23.1/100</f>
        <v>0.15177752205</v>
      </c>
    </row>
    <row r="73" spans="24:29" x14ac:dyDescent="0.25">
      <c r="X73" s="2">
        <v>67</v>
      </c>
      <c r="Y73" s="9">
        <v>79.599999999999994</v>
      </c>
      <c r="Z73" s="2">
        <f t="shared" si="12"/>
        <v>15.919999999999998</v>
      </c>
      <c r="AA73" s="9">
        <v>68</v>
      </c>
      <c r="AB73" s="2">
        <f t="shared" si="13"/>
        <v>0.6668521999999999</v>
      </c>
      <c r="AC73" s="2">
        <f t="shared" si="14"/>
        <v>0.15404285819999999</v>
      </c>
    </row>
    <row r="74" spans="24:29" x14ac:dyDescent="0.25">
      <c r="X74" s="2">
        <v>68</v>
      </c>
      <c r="Y74" s="9">
        <v>80.8</v>
      </c>
      <c r="Z74" s="2">
        <f t="shared" si="12"/>
        <v>16.16</v>
      </c>
      <c r="AA74" s="9">
        <v>69</v>
      </c>
      <c r="AB74" s="2">
        <f t="shared" si="13"/>
        <v>0.67665884999999992</v>
      </c>
      <c r="AC74" s="2">
        <f t="shared" si="14"/>
        <v>0.15630819434999998</v>
      </c>
    </row>
    <row r="75" spans="24:29" x14ac:dyDescent="0.25">
      <c r="X75" s="2">
        <v>69</v>
      </c>
      <c r="Y75" s="9">
        <v>81.3</v>
      </c>
      <c r="Z75" s="2">
        <f t="shared" si="12"/>
        <v>16.259999999999998</v>
      </c>
      <c r="AA75" s="9">
        <v>70</v>
      </c>
      <c r="AB75" s="2">
        <f t="shared" si="13"/>
        <v>0.68646549999999995</v>
      </c>
      <c r="AC75" s="2">
        <f t="shared" si="14"/>
        <v>0.1585735305</v>
      </c>
    </row>
    <row r="76" spans="24:29" x14ac:dyDescent="0.25">
      <c r="X76" s="2">
        <v>70</v>
      </c>
      <c r="Y76" s="9">
        <v>81.5</v>
      </c>
      <c r="Z76" s="2">
        <f t="shared" si="12"/>
        <v>16.3</v>
      </c>
      <c r="AA76" s="9">
        <v>71</v>
      </c>
      <c r="AB76" s="2">
        <f t="shared" si="13"/>
        <v>0.69627214999999998</v>
      </c>
      <c r="AC76" s="2">
        <f t="shared" si="14"/>
        <v>0.16083886665000002</v>
      </c>
    </row>
    <row r="77" spans="24:29" x14ac:dyDescent="0.25">
      <c r="X77" s="2">
        <v>71</v>
      </c>
      <c r="Y77" s="9">
        <v>84.1</v>
      </c>
      <c r="Z77" s="2">
        <f t="shared" si="12"/>
        <v>16.82</v>
      </c>
      <c r="AA77" s="9">
        <v>72</v>
      </c>
      <c r="AB77" s="2">
        <f t="shared" si="13"/>
        <v>0.70607880000000001</v>
      </c>
      <c r="AC77" s="2">
        <f t="shared" si="14"/>
        <v>0.16310420280000001</v>
      </c>
    </row>
    <row r="78" spans="24:29" x14ac:dyDescent="0.25">
      <c r="X78" s="2">
        <v>72</v>
      </c>
      <c r="Y78" s="9">
        <v>84.6</v>
      </c>
      <c r="Z78" s="2">
        <f t="shared" si="12"/>
        <v>16.919999999999998</v>
      </c>
      <c r="AA78" s="9">
        <v>73</v>
      </c>
      <c r="AB78" s="2">
        <f t="shared" si="13"/>
        <v>0.71588545000000003</v>
      </c>
      <c r="AC78" s="2">
        <f t="shared" si="14"/>
        <v>0.16536953895000003</v>
      </c>
    </row>
    <row r="79" spans="24:29" x14ac:dyDescent="0.25">
      <c r="X79" s="2">
        <v>73</v>
      </c>
      <c r="Y79" s="9">
        <v>87</v>
      </c>
      <c r="Z79" s="2">
        <f t="shared" si="12"/>
        <v>17.399999999999999</v>
      </c>
      <c r="AA79" s="9">
        <v>74</v>
      </c>
      <c r="AB79" s="2">
        <f t="shared" si="13"/>
        <v>0.72569209999999995</v>
      </c>
      <c r="AC79" s="2">
        <f t="shared" si="14"/>
        <v>0.1676348751</v>
      </c>
    </row>
    <row r="80" spans="24:29" x14ac:dyDescent="0.25">
      <c r="X80" s="2">
        <v>74</v>
      </c>
      <c r="Y80" s="9">
        <v>87.4</v>
      </c>
      <c r="Z80" s="2">
        <f t="shared" si="12"/>
        <v>17.48</v>
      </c>
      <c r="AA80" s="9">
        <v>75</v>
      </c>
      <c r="AB80" s="2">
        <f t="shared" si="13"/>
        <v>0.73549874999999998</v>
      </c>
      <c r="AC80" s="2">
        <f t="shared" si="14"/>
        <v>0.16990021125000002</v>
      </c>
    </row>
  </sheetData>
  <sortState xmlns:xlrd2="http://schemas.microsoft.com/office/spreadsheetml/2017/richdata2" ref="AL7:AV23">
    <sortCondition ref="AL7:AL23"/>
  </sortState>
  <mergeCells count="17">
    <mergeCell ref="AE28:AF28"/>
    <mergeCell ref="AI21:AJ21"/>
    <mergeCell ref="I5:M5"/>
    <mergeCell ref="O26:P26"/>
    <mergeCell ref="X5:AC5"/>
    <mergeCell ref="B12:E12"/>
    <mergeCell ref="B5:F5"/>
    <mergeCell ref="B15:F15"/>
    <mergeCell ref="B16:D16"/>
    <mergeCell ref="B17:D17"/>
    <mergeCell ref="B18:D18"/>
    <mergeCell ref="AL26:AM26"/>
    <mergeCell ref="AL5:AV5"/>
    <mergeCell ref="AE21:AF21"/>
    <mergeCell ref="AE26:AF26"/>
    <mergeCell ref="AE27:AF27"/>
    <mergeCell ref="AE29:AF29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944B-903D-4399-B4DA-789CCC9B2813}">
  <dimension ref="D4:AI74"/>
  <sheetViews>
    <sheetView zoomScale="70" zoomScaleNormal="70" workbookViewId="0">
      <selection activeCell="E8" sqref="E8"/>
    </sheetView>
  </sheetViews>
  <sheetFormatPr defaultColWidth="9.28515625" defaultRowHeight="15" x14ac:dyDescent="0.25"/>
  <cols>
    <col min="1" max="3" width="9.28515625" style="11"/>
    <col min="4" max="4" width="24.85546875" style="11" bestFit="1" customWidth="1"/>
    <col min="5" max="5" width="27.5703125" style="11" bestFit="1" customWidth="1"/>
    <col min="6" max="6" width="12" style="11" bestFit="1" customWidth="1"/>
    <col min="7" max="7" width="20.42578125" style="11" bestFit="1" customWidth="1"/>
    <col min="8" max="8" width="12" style="11" bestFit="1" customWidth="1"/>
    <col min="9" max="9" width="14.28515625" style="11" bestFit="1" customWidth="1"/>
    <col min="10" max="10" width="8" style="11" bestFit="1" customWidth="1"/>
    <col min="11" max="16" width="9.28515625" style="11"/>
    <col min="17" max="17" width="11.140625" style="11" bestFit="1" customWidth="1"/>
    <col min="18" max="18" width="7.7109375" style="11" bestFit="1" customWidth="1"/>
    <col min="19" max="19" width="11" style="11" bestFit="1" customWidth="1"/>
    <col min="20" max="20" width="11.140625" style="11" bestFit="1" customWidth="1"/>
    <col min="21" max="21" width="7.7109375" style="11" bestFit="1" customWidth="1"/>
    <col min="22" max="22" width="11" style="11" bestFit="1" customWidth="1"/>
    <col min="23" max="23" width="11.140625" style="11" bestFit="1" customWidth="1"/>
    <col min="24" max="24" width="7.7109375" style="11" bestFit="1" customWidth="1"/>
    <col min="25" max="25" width="11" style="11" bestFit="1" customWidth="1"/>
    <col min="26" max="26" width="6.140625" style="11" bestFit="1" customWidth="1"/>
    <col min="27" max="27" width="8.85546875" style="11" bestFit="1" customWidth="1"/>
    <col min="28" max="28" width="3.7109375" style="11" bestFit="1" customWidth="1"/>
    <col min="29" max="29" width="9.28515625" style="11"/>
    <col min="30" max="30" width="11.140625" style="89" bestFit="1" customWidth="1"/>
    <col min="31" max="31" width="7.7109375" style="89" bestFit="1" customWidth="1"/>
    <col min="32" max="32" width="11" style="89" bestFit="1" customWidth="1"/>
    <col min="33" max="33" width="7.42578125" style="89" bestFit="1" customWidth="1"/>
    <col min="34" max="34" width="14.85546875" style="89" bestFit="1" customWidth="1"/>
    <col min="35" max="16384" width="9.28515625" style="11"/>
  </cols>
  <sheetData>
    <row r="4" spans="4:35" ht="15.75" thickBot="1" x14ac:dyDescent="0.3">
      <c r="H4" s="53" t="s">
        <v>59</v>
      </c>
      <c r="I4" s="53"/>
      <c r="J4" s="53"/>
    </row>
    <row r="5" spans="4:35" ht="15.75" thickBot="1" x14ac:dyDescent="0.3">
      <c r="D5" s="14" t="s">
        <v>51</v>
      </c>
      <c r="E5" s="15" t="s">
        <v>52</v>
      </c>
      <c r="F5" s="16" t="s">
        <v>50</v>
      </c>
      <c r="H5" s="14" t="s">
        <v>54</v>
      </c>
      <c r="I5" s="14" t="s">
        <v>55</v>
      </c>
      <c r="J5" s="14" t="s">
        <v>56</v>
      </c>
      <c r="Q5" s="50" t="s">
        <v>41</v>
      </c>
      <c r="R5" s="51"/>
      <c r="S5" s="51"/>
      <c r="T5" s="51"/>
      <c r="U5" s="51"/>
      <c r="V5" s="51"/>
      <c r="W5" s="51"/>
      <c r="X5" s="51"/>
      <c r="Y5" s="52"/>
      <c r="Z5" s="66"/>
      <c r="AA5" s="66"/>
      <c r="AB5" s="66"/>
      <c r="AD5" s="61"/>
      <c r="AE5" s="61"/>
      <c r="AF5" s="61"/>
      <c r="AG5" s="61"/>
      <c r="AH5" s="61"/>
    </row>
    <row r="6" spans="4:35" x14ac:dyDescent="0.25">
      <c r="D6" s="20">
        <v>12</v>
      </c>
      <c r="E6" s="21">
        <v>7.56</v>
      </c>
      <c r="F6" s="17">
        <f>(D6-E6)*1000/E8</f>
        <v>9.4468085106382986</v>
      </c>
      <c r="H6" s="18">
        <f>F6</f>
        <v>9.4468085106382986</v>
      </c>
      <c r="I6" s="14" t="s">
        <v>57</v>
      </c>
      <c r="J6" s="19" t="s">
        <v>58</v>
      </c>
      <c r="Q6" s="28" t="s">
        <v>1</v>
      </c>
      <c r="R6" s="29" t="s">
        <v>43</v>
      </c>
      <c r="S6" s="29" t="s">
        <v>42</v>
      </c>
      <c r="T6" s="28" t="s">
        <v>1</v>
      </c>
      <c r="U6" s="29" t="s">
        <v>43</v>
      </c>
      <c r="V6" s="29" t="s">
        <v>42</v>
      </c>
      <c r="W6" s="28" t="s">
        <v>1</v>
      </c>
      <c r="X6" s="29" t="s">
        <v>43</v>
      </c>
      <c r="Y6" s="90" t="s">
        <v>42</v>
      </c>
      <c r="AD6" s="63"/>
      <c r="AE6" s="63"/>
      <c r="AF6" s="63"/>
      <c r="AG6" s="63"/>
      <c r="AH6" s="63"/>
    </row>
    <row r="7" spans="4:35" x14ac:dyDescent="0.25">
      <c r="Q7" s="30">
        <v>1</v>
      </c>
      <c r="R7" s="2">
        <v>200</v>
      </c>
      <c r="S7" s="2">
        <v>4.6300000000000001E-2</v>
      </c>
      <c r="T7" s="30">
        <v>16</v>
      </c>
      <c r="U7" s="2">
        <v>6200</v>
      </c>
      <c r="V7" s="2">
        <v>1.3680000000000001</v>
      </c>
      <c r="W7" s="30">
        <v>31</v>
      </c>
      <c r="X7" s="2">
        <v>13000</v>
      </c>
      <c r="Y7" s="91">
        <v>2.8450000000000002</v>
      </c>
      <c r="AD7" s="62"/>
      <c r="AE7" s="62"/>
      <c r="AF7" s="62"/>
      <c r="AG7" s="62"/>
      <c r="AH7" s="62"/>
    </row>
    <row r="8" spans="4:35" x14ac:dyDescent="0.25">
      <c r="D8" s="16" t="s">
        <v>53</v>
      </c>
      <c r="E8" s="16">
        <v>470</v>
      </c>
      <c r="H8" s="54" t="s">
        <v>60</v>
      </c>
      <c r="I8" s="54"/>
      <c r="J8" s="54"/>
      <c r="Q8" s="30">
        <v>2</v>
      </c>
      <c r="R8" s="2">
        <v>600</v>
      </c>
      <c r="S8" s="2">
        <v>0.13619999999999999</v>
      </c>
      <c r="T8" s="30">
        <v>17</v>
      </c>
      <c r="U8" s="2">
        <v>6600</v>
      </c>
      <c r="V8" s="2">
        <v>1.4550000000000001</v>
      </c>
      <c r="W8" s="30">
        <v>32</v>
      </c>
      <c r="X8" s="2">
        <v>13500</v>
      </c>
      <c r="Y8" s="91">
        <v>2.9529999999999998</v>
      </c>
      <c r="AD8" s="62"/>
      <c r="AE8" s="62"/>
      <c r="AF8" s="62"/>
      <c r="AG8" s="62"/>
      <c r="AH8" s="62"/>
      <c r="AI8" s="27"/>
    </row>
    <row r="9" spans="4:35" x14ac:dyDescent="0.25">
      <c r="D9" s="16" t="s">
        <v>63</v>
      </c>
      <c r="E9" s="16">
        <v>20</v>
      </c>
      <c r="H9" s="54">
        <f>((D6-E6)^2)*1000/E8</f>
        <v>41.943829787234044</v>
      </c>
      <c r="I9" s="54"/>
      <c r="J9" s="54"/>
      <c r="Q9" s="30">
        <v>3</v>
      </c>
      <c r="R9" s="2">
        <v>1000</v>
      </c>
      <c r="S9" s="2">
        <v>0.22589999999999999</v>
      </c>
      <c r="T9" s="30">
        <v>18</v>
      </c>
      <c r="U9" s="2">
        <v>7000</v>
      </c>
      <c r="V9" s="2">
        <v>1.542</v>
      </c>
      <c r="W9" s="30">
        <v>33</v>
      </c>
      <c r="X9" s="2">
        <v>14000</v>
      </c>
      <c r="Y9" s="91">
        <v>3.0619999999999998</v>
      </c>
      <c r="AA9" s="89"/>
      <c r="AD9" s="62"/>
      <c r="AE9" s="62"/>
      <c r="AF9" s="62"/>
      <c r="AG9" s="62"/>
      <c r="AH9" s="62"/>
      <c r="AI9" s="27"/>
    </row>
    <row r="10" spans="4:35" x14ac:dyDescent="0.25">
      <c r="Q10" s="30">
        <v>4</v>
      </c>
      <c r="R10" s="2">
        <v>1400</v>
      </c>
      <c r="S10" s="2">
        <v>0.3145</v>
      </c>
      <c r="T10" s="30">
        <v>19</v>
      </c>
      <c r="U10" s="2">
        <v>7400</v>
      </c>
      <c r="V10" s="2">
        <v>1.625</v>
      </c>
      <c r="W10" s="30">
        <v>34</v>
      </c>
      <c r="X10" s="2">
        <v>14500</v>
      </c>
      <c r="Y10" s="91">
        <v>3.17</v>
      </c>
      <c r="AD10" s="62"/>
      <c r="AE10" s="62"/>
      <c r="AF10" s="62"/>
      <c r="AG10" s="62"/>
      <c r="AH10" s="62"/>
      <c r="AI10" s="27"/>
    </row>
    <row r="11" spans="4:35" x14ac:dyDescent="0.25">
      <c r="D11" s="46" t="s">
        <v>61</v>
      </c>
      <c r="E11" s="4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30">
        <v>5</v>
      </c>
      <c r="R11" s="2">
        <v>1800</v>
      </c>
      <c r="S11" s="2">
        <v>0.40360000000000001</v>
      </c>
      <c r="T11" s="30">
        <v>20</v>
      </c>
      <c r="U11" s="2">
        <v>7800</v>
      </c>
      <c r="V11" s="2">
        <v>1.716</v>
      </c>
      <c r="W11" s="30">
        <v>35</v>
      </c>
      <c r="X11" s="2">
        <v>15000</v>
      </c>
      <c r="Y11" s="91">
        <v>3.2789999999999999</v>
      </c>
      <c r="AD11" s="62"/>
      <c r="AE11" s="62"/>
      <c r="AF11" s="62"/>
      <c r="AG11" s="62"/>
      <c r="AH11" s="62"/>
      <c r="AI11" s="27"/>
    </row>
    <row r="12" spans="4:35" x14ac:dyDescent="0.25">
      <c r="D12" s="15" t="s">
        <v>62</v>
      </c>
      <c r="E12" s="22">
        <v>5</v>
      </c>
      <c r="F12" s="7"/>
      <c r="G12" s="7"/>
      <c r="H12" s="7"/>
      <c r="I12" s="7"/>
      <c r="J12" s="7"/>
      <c r="K12" s="7"/>
      <c r="L12" s="12"/>
      <c r="M12" s="7"/>
      <c r="N12" s="7"/>
      <c r="O12" s="7"/>
      <c r="P12" s="7"/>
      <c r="Q12" s="30">
        <v>6</v>
      </c>
      <c r="R12" s="2">
        <v>2200</v>
      </c>
      <c r="S12" s="2">
        <v>0.4919</v>
      </c>
      <c r="T12" s="30">
        <v>21</v>
      </c>
      <c r="U12" s="2">
        <v>8200</v>
      </c>
      <c r="V12" s="2">
        <v>1.8029999999999999</v>
      </c>
      <c r="W12" s="30">
        <v>36</v>
      </c>
      <c r="X12" s="2">
        <v>15500</v>
      </c>
      <c r="Y12" s="91">
        <v>3.387</v>
      </c>
      <c r="AD12" s="62"/>
      <c r="AE12" s="62"/>
      <c r="AF12" s="62"/>
      <c r="AG12" s="62"/>
      <c r="AH12" s="62"/>
      <c r="AI12" s="27"/>
    </row>
    <row r="13" spans="4:35" x14ac:dyDescent="0.25"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30">
        <v>7</v>
      </c>
      <c r="R13" s="2">
        <v>2600</v>
      </c>
      <c r="S13" s="2">
        <v>0.58050000000000002</v>
      </c>
      <c r="T13" s="30">
        <v>22</v>
      </c>
      <c r="U13" s="2">
        <v>8600</v>
      </c>
      <c r="V13" s="2">
        <v>1.89</v>
      </c>
      <c r="W13" s="30">
        <v>37</v>
      </c>
      <c r="X13" s="2">
        <v>16000</v>
      </c>
      <c r="Y13" s="91">
        <v>3.4950000000000001</v>
      </c>
      <c r="AD13" s="62"/>
      <c r="AE13" s="62"/>
      <c r="AF13" s="62"/>
      <c r="AG13" s="62"/>
      <c r="AH13" s="62"/>
      <c r="AI13" s="27"/>
    </row>
    <row r="14" spans="4:35" x14ac:dyDescent="0.25"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30">
        <v>8</v>
      </c>
      <c r="R14" s="2">
        <v>3000</v>
      </c>
      <c r="S14" s="2">
        <v>0.66800000000000004</v>
      </c>
      <c r="T14" s="30">
        <v>23</v>
      </c>
      <c r="U14" s="2">
        <v>9000</v>
      </c>
      <c r="V14" s="2">
        <v>1.978</v>
      </c>
      <c r="W14" s="30">
        <v>38</v>
      </c>
      <c r="X14" s="2">
        <v>16500</v>
      </c>
      <c r="Y14" s="91">
        <v>3.6030000000000002</v>
      </c>
      <c r="AD14" s="62"/>
      <c r="AE14" s="62"/>
      <c r="AF14" s="62"/>
      <c r="AG14" s="62"/>
      <c r="AH14" s="62"/>
      <c r="AI14" s="27"/>
    </row>
    <row r="15" spans="4:35" x14ac:dyDescent="0.25"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30">
        <v>9</v>
      </c>
      <c r="R15" s="2">
        <v>3400</v>
      </c>
      <c r="S15" s="2">
        <v>0.75600000000000001</v>
      </c>
      <c r="T15" s="30">
        <v>24</v>
      </c>
      <c r="U15" s="2">
        <v>9400</v>
      </c>
      <c r="V15" s="2">
        <v>2.0649999999999999</v>
      </c>
      <c r="W15" s="30">
        <v>39</v>
      </c>
      <c r="X15" s="2">
        <v>17000</v>
      </c>
      <c r="Y15" s="91">
        <v>3.7120000000000002</v>
      </c>
      <c r="AD15" s="62"/>
      <c r="AE15" s="62"/>
      <c r="AF15" s="62"/>
      <c r="AG15" s="62"/>
      <c r="AH15" s="62"/>
      <c r="AI15" s="27"/>
    </row>
    <row r="16" spans="4:35" x14ac:dyDescent="0.25">
      <c r="D16" s="11" t="s">
        <v>64</v>
      </c>
      <c r="E16" s="11">
        <v>0.9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30">
        <v>10</v>
      </c>
      <c r="R16" s="2">
        <v>3800</v>
      </c>
      <c r="S16" s="2">
        <v>0.84399999999999997</v>
      </c>
      <c r="T16" s="30">
        <v>25</v>
      </c>
      <c r="U16" s="2">
        <v>10000</v>
      </c>
      <c r="V16" s="2">
        <v>2.1949999999999998</v>
      </c>
      <c r="W16" s="30">
        <v>40</v>
      </c>
      <c r="X16" s="2">
        <v>17500</v>
      </c>
      <c r="Y16" s="91">
        <v>3.819</v>
      </c>
      <c r="AD16" s="62"/>
      <c r="AE16" s="62"/>
      <c r="AF16" s="62"/>
      <c r="AG16" s="62"/>
      <c r="AH16" s="62"/>
      <c r="AI16" s="27"/>
    </row>
    <row r="17" spans="4:35" x14ac:dyDescent="0.25">
      <c r="D17" s="11" t="s">
        <v>65</v>
      </c>
      <c r="E17" s="11">
        <f>E12/(E6*(E9*1000)*E16)</f>
        <v>3.6743092298647854E-5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0">
        <v>11</v>
      </c>
      <c r="R17" s="2">
        <v>4200</v>
      </c>
      <c r="S17" s="2">
        <v>0.93200000000000005</v>
      </c>
      <c r="T17" s="30">
        <v>26</v>
      </c>
      <c r="U17" s="2">
        <v>10500</v>
      </c>
      <c r="V17" s="2">
        <v>2.3039999999999998</v>
      </c>
      <c r="W17" s="30">
        <v>41</v>
      </c>
      <c r="X17" s="2">
        <v>18000</v>
      </c>
      <c r="Y17" s="91">
        <v>3.927</v>
      </c>
      <c r="Z17" s="13"/>
      <c r="AD17" s="62"/>
      <c r="AE17" s="62"/>
      <c r="AF17" s="62"/>
      <c r="AG17" s="62"/>
      <c r="AH17" s="62"/>
      <c r="AI17" s="27"/>
    </row>
    <row r="18" spans="4:35" x14ac:dyDescent="0.25"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0">
        <v>12</v>
      </c>
      <c r="R18" s="2">
        <v>4600</v>
      </c>
      <c r="S18" s="2">
        <v>1.0189999999999999</v>
      </c>
      <c r="T18" s="30">
        <v>27</v>
      </c>
      <c r="U18" s="2">
        <v>11000</v>
      </c>
      <c r="V18" s="2">
        <v>2.4119999999999999</v>
      </c>
      <c r="W18" s="30">
        <v>42</v>
      </c>
      <c r="X18" s="2">
        <v>18500</v>
      </c>
      <c r="Y18" s="91">
        <v>4.0359999999999996</v>
      </c>
      <c r="AD18" s="62"/>
      <c r="AE18" s="62"/>
      <c r="AF18" s="62"/>
      <c r="AG18" s="62"/>
      <c r="AH18" s="62"/>
      <c r="AI18" s="27"/>
    </row>
    <row r="19" spans="4:35" ht="14.25" customHeight="1" x14ac:dyDescent="0.25"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0">
        <v>13</v>
      </c>
      <c r="R19" s="2">
        <v>5000</v>
      </c>
      <c r="S19" s="2">
        <v>1.107</v>
      </c>
      <c r="T19" s="30">
        <v>28</v>
      </c>
      <c r="U19" s="2">
        <v>11500</v>
      </c>
      <c r="V19" s="2">
        <v>2.5209999999999999</v>
      </c>
      <c r="W19" s="30">
        <v>43</v>
      </c>
      <c r="X19" s="2">
        <v>19000</v>
      </c>
      <c r="Y19" s="91">
        <v>4.1440000000000001</v>
      </c>
      <c r="AD19" s="62"/>
      <c r="AE19" s="62"/>
      <c r="AF19" s="62"/>
      <c r="AG19" s="62"/>
      <c r="AH19" s="62"/>
      <c r="AI19" s="27"/>
    </row>
    <row r="20" spans="4:35" ht="14.25" customHeight="1" x14ac:dyDescent="0.25"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30">
        <v>14</v>
      </c>
      <c r="R20" s="2">
        <v>5400</v>
      </c>
      <c r="S20" s="2">
        <v>1.194</v>
      </c>
      <c r="T20" s="30">
        <v>29</v>
      </c>
      <c r="U20" s="2">
        <v>12000</v>
      </c>
      <c r="V20" s="2">
        <v>2.629</v>
      </c>
      <c r="W20" s="30">
        <v>44</v>
      </c>
      <c r="X20" s="2">
        <v>19500</v>
      </c>
      <c r="Y20" s="91">
        <v>4.2519999999999998</v>
      </c>
      <c r="AD20" s="62"/>
      <c r="AE20" s="62"/>
      <c r="AF20" s="62"/>
      <c r="AG20" s="62"/>
      <c r="AH20" s="62"/>
      <c r="AI20" s="27"/>
    </row>
    <row r="21" spans="4:35" ht="16.5" customHeight="1" thickBot="1" x14ac:dyDescent="0.3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1">
        <v>15</v>
      </c>
      <c r="R21" s="32">
        <v>5800</v>
      </c>
      <c r="S21" s="32">
        <v>1.2809999999999999</v>
      </c>
      <c r="T21" s="31">
        <v>30</v>
      </c>
      <c r="U21" s="32">
        <v>12500</v>
      </c>
      <c r="V21" s="32">
        <v>2.7370000000000001</v>
      </c>
      <c r="W21" s="31">
        <v>45</v>
      </c>
      <c r="X21" s="32">
        <v>20000</v>
      </c>
      <c r="Y21" s="92">
        <v>4.3369999999999997</v>
      </c>
      <c r="AD21" s="62"/>
      <c r="AE21" s="62"/>
      <c r="AF21" s="62"/>
      <c r="AG21" s="62"/>
      <c r="AH21" s="62"/>
      <c r="AI21" s="27"/>
    </row>
    <row r="22" spans="4:35" x14ac:dyDescent="0.25"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U22" s="27"/>
      <c r="V22" s="27"/>
      <c r="W22" s="27"/>
      <c r="X22" s="27"/>
      <c r="AD22" s="62"/>
      <c r="AE22" s="62"/>
      <c r="AF22" s="62"/>
      <c r="AG22" s="62"/>
      <c r="AH22" s="62"/>
      <c r="AI22" s="27"/>
    </row>
    <row r="23" spans="4:35" x14ac:dyDescent="0.25"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U23" s="27"/>
      <c r="V23" s="27"/>
      <c r="W23" s="27"/>
      <c r="X23" s="27"/>
      <c r="AD23" s="62"/>
      <c r="AE23" s="62"/>
      <c r="AF23" s="62"/>
      <c r="AG23" s="62"/>
      <c r="AH23" s="62"/>
      <c r="AI23" s="27"/>
    </row>
    <row r="24" spans="4:35" x14ac:dyDescent="0.25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U24" s="27"/>
      <c r="V24" s="27"/>
      <c r="W24" s="27"/>
      <c r="X24" s="27"/>
      <c r="AD24" s="62"/>
      <c r="AE24" s="62"/>
      <c r="AF24" s="62"/>
      <c r="AG24" s="62"/>
      <c r="AH24" s="62"/>
      <c r="AI24" s="27"/>
    </row>
    <row r="25" spans="4:35" x14ac:dyDescent="0.25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U25" s="27"/>
      <c r="V25" s="27"/>
      <c r="W25" s="27"/>
      <c r="X25" s="27"/>
      <c r="AD25" s="62"/>
      <c r="AE25" s="62"/>
      <c r="AF25" s="62"/>
      <c r="AG25" s="62"/>
      <c r="AH25" s="62"/>
      <c r="AI25" s="27"/>
    </row>
    <row r="26" spans="4:35" x14ac:dyDescent="0.25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U26" s="27"/>
      <c r="V26" s="27"/>
      <c r="W26" s="27"/>
      <c r="X26" s="27"/>
      <c r="AD26" s="62"/>
      <c r="AE26" s="62"/>
      <c r="AF26" s="62"/>
      <c r="AG26" s="62"/>
      <c r="AH26" s="62"/>
      <c r="AI26" s="27"/>
    </row>
    <row r="27" spans="4:35" x14ac:dyDescent="0.25"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U27" s="27"/>
      <c r="V27" s="27"/>
      <c r="W27" s="27"/>
      <c r="X27" s="27"/>
      <c r="AD27" s="62"/>
      <c r="AE27" s="62"/>
      <c r="AF27" s="62"/>
      <c r="AG27" s="62"/>
      <c r="AH27" s="62"/>
      <c r="AI27" s="27"/>
    </row>
    <row r="28" spans="4:35" x14ac:dyDescent="0.25"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U28" s="27"/>
      <c r="V28" s="27"/>
      <c r="W28" s="27"/>
      <c r="X28" s="27"/>
      <c r="AD28" s="62"/>
      <c r="AE28" s="62"/>
      <c r="AF28" s="62"/>
      <c r="AG28" s="62"/>
      <c r="AH28" s="62"/>
      <c r="AI28" s="27"/>
    </row>
    <row r="29" spans="4:35" x14ac:dyDescent="0.25">
      <c r="D29" s="14" t="s">
        <v>69</v>
      </c>
      <c r="E29" s="14">
        <f>(1.5*10^(-9))/2</f>
        <v>7.500000000000001E-10</v>
      </c>
      <c r="F29" s="1"/>
      <c r="G29" s="47" t="s">
        <v>74</v>
      </c>
      <c r="H29" s="47"/>
      <c r="I29" s="47"/>
      <c r="J29" s="1"/>
      <c r="K29" s="1"/>
      <c r="L29" s="1"/>
      <c r="M29" s="1"/>
      <c r="N29" s="1"/>
      <c r="O29" s="1"/>
      <c r="P29" s="1"/>
      <c r="U29" s="27"/>
      <c r="V29" s="27"/>
      <c r="W29" s="27"/>
      <c r="X29" s="27"/>
      <c r="AD29" s="62"/>
      <c r="AE29" s="62"/>
      <c r="AF29" s="62"/>
      <c r="AG29" s="62"/>
      <c r="AH29" s="62"/>
      <c r="AI29" s="27"/>
    </row>
    <row r="30" spans="4:35" x14ac:dyDescent="0.25">
      <c r="D30" s="14" t="s">
        <v>68</v>
      </c>
      <c r="E30" s="14">
        <f>E17/E29</f>
        <v>48990.789731530465</v>
      </c>
      <c r="F30" s="1"/>
      <c r="G30" s="24" t="s">
        <v>73</v>
      </c>
      <c r="H30" s="24">
        <f>(0.00018)/(E29*E6)</f>
        <v>31746.031746031746</v>
      </c>
      <c r="I30" s="24"/>
      <c r="J30" s="1"/>
      <c r="K30" s="1"/>
      <c r="L30" s="1"/>
      <c r="M30" s="1"/>
      <c r="N30" s="1"/>
      <c r="O30" s="1"/>
      <c r="P30" s="1"/>
      <c r="U30" s="27"/>
      <c r="V30" s="27"/>
      <c r="W30" s="27"/>
      <c r="X30" s="27"/>
      <c r="AD30" s="62"/>
      <c r="AE30" s="62"/>
      <c r="AF30" s="62"/>
      <c r="AG30" s="62"/>
      <c r="AH30" s="62"/>
      <c r="AI30" s="27"/>
    </row>
    <row r="31" spans="4:35" x14ac:dyDescent="0.25">
      <c r="D31" s="14" t="s">
        <v>67</v>
      </c>
      <c r="E31" s="25">
        <v>43300</v>
      </c>
      <c r="F31" s="1"/>
      <c r="G31" s="24" t="s">
        <v>72</v>
      </c>
      <c r="H31" s="24">
        <f>(0.00014)/(E29*E6)</f>
        <v>24691.358024691355</v>
      </c>
      <c r="I31" s="24"/>
      <c r="J31" s="1"/>
      <c r="K31" s="1"/>
      <c r="L31" s="1"/>
      <c r="M31" s="1"/>
      <c r="N31" s="1"/>
      <c r="O31" s="1"/>
      <c r="P31" s="1"/>
      <c r="U31" s="27"/>
      <c r="V31" s="27"/>
      <c r="W31" s="27"/>
      <c r="X31" s="27"/>
      <c r="AD31" s="62"/>
      <c r="AE31" s="62"/>
      <c r="AF31" s="62"/>
      <c r="AG31" s="62"/>
      <c r="AH31" s="62"/>
      <c r="AI31" s="27"/>
    </row>
    <row r="32" spans="4:35" x14ac:dyDescent="0.25">
      <c r="E32" s="2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U32" s="27"/>
      <c r="V32" s="27"/>
      <c r="W32" s="27"/>
      <c r="X32" s="27"/>
      <c r="AD32" s="62"/>
      <c r="AE32" s="62"/>
      <c r="AF32" s="62"/>
      <c r="AG32" s="62"/>
      <c r="AH32" s="62"/>
      <c r="AI32" s="27"/>
    </row>
    <row r="33" spans="4:35" x14ac:dyDescent="0.25">
      <c r="D33" s="11" t="s">
        <v>70</v>
      </c>
      <c r="E33" s="23">
        <f>100*10^(-9)</f>
        <v>1.0000000000000001E-7</v>
      </c>
      <c r="F33" s="1"/>
      <c r="G33" s="48" t="s">
        <v>75</v>
      </c>
      <c r="H33" s="48"/>
      <c r="I33" s="48"/>
      <c r="J33" s="1"/>
      <c r="K33" s="1"/>
      <c r="L33" s="1"/>
      <c r="M33" s="1"/>
      <c r="N33" s="1"/>
      <c r="O33" s="1"/>
      <c r="P33" s="1"/>
      <c r="U33" s="27"/>
      <c r="V33" s="27"/>
      <c r="W33" s="27"/>
      <c r="X33" s="27"/>
      <c r="AD33" s="62"/>
      <c r="AE33" s="62"/>
      <c r="AF33" s="62"/>
      <c r="AG33" s="62"/>
      <c r="AH33" s="62"/>
      <c r="AI33" s="27"/>
    </row>
    <row r="34" spans="4:35" x14ac:dyDescent="0.25">
      <c r="G34" s="26" t="s">
        <v>77</v>
      </c>
      <c r="H34" s="26">
        <f>(0.00018)*E31</f>
        <v>7.7940000000000005</v>
      </c>
      <c r="I34" s="15" t="str">
        <f>_xlfn.CONCAT("&gt; ",E35)</f>
        <v>&gt; 4,419198</v>
      </c>
      <c r="U34" s="27"/>
      <c r="V34" s="27"/>
      <c r="W34" s="27"/>
      <c r="X34" s="27"/>
      <c r="AD34" s="62"/>
      <c r="AE34" s="62"/>
      <c r="AF34" s="62"/>
      <c r="AG34" s="62"/>
      <c r="AH34" s="62"/>
      <c r="AI34" s="27"/>
    </row>
    <row r="35" spans="4:35" x14ac:dyDescent="0.25">
      <c r="D35" s="11" t="s">
        <v>66</v>
      </c>
      <c r="E35" s="11">
        <f>E6*(1000*E9)*E29*E31*E16</f>
        <v>4.4191980000000006</v>
      </c>
      <c r="G35" s="26" t="s">
        <v>78</v>
      </c>
      <c r="H35" s="26">
        <f>(0.00014)*E31</f>
        <v>6.0619999999999994</v>
      </c>
      <c r="I35" s="15" t="str">
        <f>_xlfn.CONCAT("&gt; ",E35)</f>
        <v>&gt; 4,419198</v>
      </c>
      <c r="U35" s="27"/>
      <c r="V35" s="27"/>
      <c r="W35" s="27"/>
      <c r="X35" s="27"/>
      <c r="AD35" s="62"/>
      <c r="AE35" s="62"/>
      <c r="AF35" s="62"/>
      <c r="AG35" s="62"/>
      <c r="AH35" s="62"/>
      <c r="AI35" s="27"/>
    </row>
    <row r="36" spans="4:35" x14ac:dyDescent="0.25">
      <c r="U36" s="27"/>
      <c r="V36" s="27"/>
      <c r="W36" s="27"/>
      <c r="X36" s="27"/>
      <c r="AD36" s="62"/>
      <c r="AE36" s="62"/>
      <c r="AF36" s="62"/>
      <c r="AG36" s="62"/>
      <c r="AH36" s="62"/>
      <c r="AI36" s="27"/>
    </row>
    <row r="37" spans="4:35" x14ac:dyDescent="0.25">
      <c r="D37" s="11" t="s">
        <v>71</v>
      </c>
      <c r="E37" s="11">
        <f>E35/(E9)</f>
        <v>0.22095990000000004</v>
      </c>
      <c r="U37" s="27"/>
      <c r="V37" s="27"/>
      <c r="W37" s="27"/>
      <c r="X37" s="27"/>
      <c r="AD37" s="62"/>
      <c r="AE37" s="62"/>
      <c r="AF37" s="62"/>
      <c r="AG37" s="62"/>
      <c r="AH37" s="62"/>
      <c r="AI37" s="27"/>
    </row>
    <row r="38" spans="4:35" x14ac:dyDescent="0.25">
      <c r="U38" s="27"/>
      <c r="V38" s="27"/>
      <c r="W38" s="27"/>
      <c r="X38" s="27"/>
      <c r="AD38" s="62"/>
      <c r="AE38" s="62"/>
      <c r="AF38" s="62"/>
      <c r="AG38" s="62"/>
      <c r="AH38" s="62"/>
      <c r="AI38" s="27"/>
    </row>
    <row r="39" spans="4:35" x14ac:dyDescent="0.25">
      <c r="U39" s="27"/>
      <c r="V39" s="27"/>
      <c r="W39" s="27"/>
      <c r="X39" s="27"/>
      <c r="AD39" s="62"/>
      <c r="AE39" s="62"/>
      <c r="AF39" s="62"/>
      <c r="AG39" s="62"/>
      <c r="AH39" s="62"/>
      <c r="AI39" s="27"/>
    </row>
    <row r="40" spans="4:35" x14ac:dyDescent="0.25">
      <c r="U40" s="27"/>
      <c r="V40" s="27"/>
      <c r="W40" s="27"/>
      <c r="X40" s="27"/>
      <c r="AD40" s="62"/>
      <c r="AE40" s="62"/>
      <c r="AF40" s="62"/>
      <c r="AG40" s="62"/>
      <c r="AH40" s="62"/>
      <c r="AI40" s="27"/>
    </row>
    <row r="41" spans="4:35" x14ac:dyDescent="0.25">
      <c r="I41" s="23"/>
      <c r="K41" s="23"/>
      <c r="L41" s="23"/>
      <c r="U41" s="27"/>
      <c r="V41" s="27"/>
      <c r="W41" s="27"/>
      <c r="X41" s="27"/>
      <c r="AD41" s="62"/>
      <c r="AE41" s="62"/>
      <c r="AF41" s="62"/>
      <c r="AG41" s="62"/>
      <c r="AH41" s="62"/>
      <c r="AI41" s="27"/>
    </row>
    <row r="42" spans="4:35" x14ac:dyDescent="0.25">
      <c r="U42" s="27"/>
      <c r="V42" s="27"/>
      <c r="W42" s="27"/>
      <c r="X42" s="27"/>
      <c r="AD42" s="62"/>
      <c r="AE42" s="62"/>
      <c r="AF42" s="62"/>
      <c r="AG42" s="62"/>
      <c r="AH42" s="62"/>
      <c r="AI42" s="27"/>
    </row>
    <row r="43" spans="4:35" x14ac:dyDescent="0.25">
      <c r="D43" s="11" t="s">
        <v>76</v>
      </c>
      <c r="E43" s="23">
        <f>(E6/2)*(E29/E33)*(1-((E6*E9*1000*E29)/0.00018))</f>
        <v>1.0489499999999997E-2</v>
      </c>
      <c r="U43" s="27"/>
      <c r="V43" s="27"/>
      <c r="W43" s="27"/>
      <c r="X43" s="27"/>
      <c r="AD43" s="62"/>
      <c r="AE43" s="62"/>
      <c r="AF43" s="62"/>
      <c r="AG43" s="62"/>
      <c r="AH43" s="62"/>
      <c r="AI43" s="27"/>
    </row>
    <row r="44" spans="4:35" x14ac:dyDescent="0.25">
      <c r="U44" s="27"/>
      <c r="V44" s="27"/>
      <c r="W44" s="27"/>
      <c r="X44" s="27"/>
      <c r="AD44" s="62"/>
      <c r="AE44" s="62"/>
      <c r="AF44" s="62"/>
      <c r="AG44" s="62"/>
      <c r="AH44" s="62"/>
      <c r="AI44" s="27"/>
    </row>
    <row r="45" spans="4:35" x14ac:dyDescent="0.25">
      <c r="U45" s="27"/>
      <c r="V45" s="27"/>
      <c r="W45" s="27"/>
      <c r="X45" s="27"/>
      <c r="AD45" s="62"/>
      <c r="AE45" s="62"/>
      <c r="AF45" s="62"/>
      <c r="AG45" s="62"/>
      <c r="AH45" s="62"/>
      <c r="AI45" s="27"/>
    </row>
    <row r="46" spans="4:35" x14ac:dyDescent="0.25">
      <c r="U46" s="27"/>
      <c r="V46" s="27"/>
      <c r="W46" s="27"/>
      <c r="X46" s="27"/>
      <c r="AD46" s="62"/>
      <c r="AE46" s="62"/>
      <c r="AF46" s="62"/>
      <c r="AG46" s="62"/>
      <c r="AH46" s="62"/>
      <c r="AI46" s="27"/>
    </row>
    <row r="47" spans="4:35" x14ac:dyDescent="0.25">
      <c r="U47" s="27"/>
      <c r="V47" s="27"/>
      <c r="W47" s="27"/>
      <c r="X47" s="27"/>
      <c r="AD47" s="62"/>
      <c r="AE47" s="62"/>
      <c r="AF47" s="62"/>
      <c r="AG47" s="62"/>
      <c r="AH47" s="62"/>
      <c r="AI47" s="27"/>
    </row>
    <row r="48" spans="4:35" x14ac:dyDescent="0.25">
      <c r="U48" s="27"/>
      <c r="V48" s="27"/>
      <c r="W48" s="27"/>
      <c r="X48" s="27"/>
      <c r="AD48" s="62"/>
      <c r="AE48" s="62"/>
      <c r="AF48" s="62"/>
      <c r="AG48" s="62"/>
      <c r="AH48" s="62"/>
      <c r="AI48" s="27"/>
    </row>
    <row r="49" spans="21:35" x14ac:dyDescent="0.25">
      <c r="U49" s="27"/>
      <c r="V49" s="27"/>
      <c r="W49" s="27"/>
      <c r="X49" s="27"/>
      <c r="AD49" s="62"/>
      <c r="AE49" s="62"/>
      <c r="AF49" s="62"/>
      <c r="AG49" s="62"/>
      <c r="AH49" s="62"/>
      <c r="AI49" s="27"/>
    </row>
    <row r="50" spans="21:35" x14ac:dyDescent="0.25">
      <c r="U50" s="27"/>
      <c r="V50" s="27"/>
      <c r="W50" s="27"/>
      <c r="X50" s="27"/>
      <c r="AD50" s="62"/>
      <c r="AE50" s="62"/>
      <c r="AF50" s="62"/>
      <c r="AG50" s="62"/>
      <c r="AH50" s="62"/>
      <c r="AI50" s="27"/>
    </row>
    <row r="51" spans="21:35" x14ac:dyDescent="0.25">
      <c r="U51" s="27"/>
      <c r="V51" s="27"/>
      <c r="W51" s="27"/>
      <c r="X51" s="27"/>
      <c r="AD51" s="62"/>
      <c r="AE51" s="62"/>
      <c r="AF51" s="62"/>
      <c r="AG51" s="62"/>
      <c r="AH51" s="62"/>
      <c r="AI51" s="27"/>
    </row>
    <row r="52" spans="21:35" x14ac:dyDescent="0.25">
      <c r="U52" s="27"/>
      <c r="V52" s="27"/>
      <c r="W52" s="27"/>
      <c r="X52" s="27"/>
      <c r="AD52" s="62"/>
      <c r="AE52" s="62"/>
      <c r="AF52" s="62"/>
      <c r="AG52" s="62"/>
      <c r="AH52" s="62"/>
      <c r="AI52" s="27"/>
    </row>
    <row r="53" spans="21:35" x14ac:dyDescent="0.25">
      <c r="AD53" s="62"/>
      <c r="AE53" s="62"/>
      <c r="AF53" s="62"/>
      <c r="AG53" s="62"/>
      <c r="AH53" s="62"/>
      <c r="AI53" s="27"/>
    </row>
    <row r="54" spans="21:35" x14ac:dyDescent="0.25">
      <c r="AD54" s="62"/>
      <c r="AE54" s="62"/>
      <c r="AF54" s="62"/>
      <c r="AG54" s="62"/>
      <c r="AH54" s="62"/>
      <c r="AI54" s="27"/>
    </row>
    <row r="55" spans="21:35" x14ac:dyDescent="0.25">
      <c r="AD55" s="62"/>
      <c r="AE55" s="62"/>
      <c r="AF55" s="62"/>
      <c r="AG55" s="62"/>
      <c r="AH55" s="62"/>
      <c r="AI55" s="27"/>
    </row>
    <row r="56" spans="21:35" x14ac:dyDescent="0.25">
      <c r="AD56" s="62"/>
      <c r="AE56" s="62"/>
      <c r="AF56" s="62"/>
      <c r="AG56" s="62"/>
      <c r="AH56" s="62"/>
      <c r="AI56" s="27"/>
    </row>
    <row r="57" spans="21:35" x14ac:dyDescent="0.25">
      <c r="AD57" s="62"/>
      <c r="AE57" s="62"/>
      <c r="AF57" s="62"/>
      <c r="AG57" s="62"/>
      <c r="AH57" s="62"/>
      <c r="AI57" s="27"/>
    </row>
    <row r="58" spans="21:35" x14ac:dyDescent="0.25">
      <c r="AD58" s="62"/>
      <c r="AE58" s="62"/>
      <c r="AF58" s="62"/>
      <c r="AG58" s="62"/>
      <c r="AH58" s="62"/>
      <c r="AI58" s="27"/>
    </row>
    <row r="59" spans="21:35" x14ac:dyDescent="0.25">
      <c r="AD59" s="62"/>
      <c r="AE59" s="62"/>
      <c r="AF59" s="62"/>
      <c r="AG59" s="62"/>
      <c r="AH59" s="62"/>
      <c r="AI59" s="27"/>
    </row>
    <row r="60" spans="21:35" x14ac:dyDescent="0.25">
      <c r="AD60" s="62"/>
      <c r="AE60" s="62"/>
      <c r="AF60" s="62"/>
      <c r="AG60" s="62"/>
      <c r="AH60" s="62"/>
      <c r="AI60" s="27"/>
    </row>
    <row r="61" spans="21:35" x14ac:dyDescent="0.25">
      <c r="AD61" s="62"/>
      <c r="AE61" s="62"/>
      <c r="AF61" s="62"/>
      <c r="AG61" s="62"/>
      <c r="AH61" s="62"/>
      <c r="AI61" s="27"/>
    </row>
    <row r="62" spans="21:35" x14ac:dyDescent="0.25">
      <c r="AD62" s="62"/>
      <c r="AE62" s="62"/>
      <c r="AF62" s="62"/>
      <c r="AG62" s="62"/>
      <c r="AH62" s="62"/>
      <c r="AI62" s="27"/>
    </row>
    <row r="63" spans="21:35" x14ac:dyDescent="0.25">
      <c r="AD63" s="62"/>
      <c r="AE63" s="62"/>
      <c r="AF63" s="62"/>
      <c r="AG63" s="62"/>
      <c r="AH63" s="62"/>
      <c r="AI63" s="27"/>
    </row>
    <row r="64" spans="21:35" x14ac:dyDescent="0.25">
      <c r="AD64" s="62"/>
      <c r="AE64" s="62"/>
      <c r="AF64" s="62"/>
      <c r="AG64" s="62"/>
      <c r="AH64" s="62"/>
      <c r="AI64" s="27"/>
    </row>
    <row r="65" spans="30:35" x14ac:dyDescent="0.25">
      <c r="AD65" s="62"/>
      <c r="AE65" s="62"/>
      <c r="AF65" s="62"/>
      <c r="AG65" s="62"/>
      <c r="AH65" s="62"/>
      <c r="AI65" s="27"/>
    </row>
    <row r="66" spans="30:35" x14ac:dyDescent="0.25">
      <c r="AD66" s="62"/>
      <c r="AE66" s="62"/>
      <c r="AF66" s="62"/>
      <c r="AG66" s="62"/>
      <c r="AH66" s="62"/>
      <c r="AI66" s="27"/>
    </row>
    <row r="67" spans="30:35" x14ac:dyDescent="0.25">
      <c r="AD67" s="62"/>
      <c r="AE67" s="62"/>
      <c r="AF67" s="62"/>
      <c r="AG67" s="62"/>
      <c r="AH67" s="62"/>
      <c r="AI67" s="27"/>
    </row>
    <row r="68" spans="30:35" x14ac:dyDescent="0.25">
      <c r="AD68" s="62"/>
      <c r="AE68" s="62"/>
      <c r="AF68" s="62"/>
      <c r="AG68" s="62"/>
      <c r="AH68" s="62"/>
      <c r="AI68" s="27"/>
    </row>
    <row r="69" spans="30:35" x14ac:dyDescent="0.25">
      <c r="AD69" s="62"/>
      <c r="AE69" s="62"/>
      <c r="AF69" s="62"/>
      <c r="AG69" s="62"/>
      <c r="AH69" s="62"/>
      <c r="AI69" s="27"/>
    </row>
    <row r="70" spans="30:35" x14ac:dyDescent="0.25">
      <c r="AD70" s="62"/>
      <c r="AE70" s="62"/>
      <c r="AF70" s="62"/>
      <c r="AG70" s="62"/>
      <c r="AH70" s="62"/>
      <c r="AI70" s="27"/>
    </row>
    <row r="71" spans="30:35" x14ac:dyDescent="0.25">
      <c r="AD71" s="62"/>
      <c r="AE71" s="62"/>
      <c r="AF71" s="62"/>
      <c r="AG71" s="62"/>
      <c r="AH71" s="62"/>
      <c r="AI71" s="27"/>
    </row>
    <row r="72" spans="30:35" x14ac:dyDescent="0.25">
      <c r="AD72" s="62"/>
      <c r="AE72" s="62"/>
      <c r="AF72" s="62"/>
      <c r="AG72" s="62"/>
      <c r="AH72" s="62"/>
      <c r="AI72" s="27"/>
    </row>
    <row r="73" spans="30:35" x14ac:dyDescent="0.25">
      <c r="AD73" s="62"/>
      <c r="AE73" s="62"/>
      <c r="AF73" s="62"/>
      <c r="AG73" s="62"/>
      <c r="AH73" s="62"/>
      <c r="AI73" s="27"/>
    </row>
    <row r="74" spans="30:35" x14ac:dyDescent="0.25">
      <c r="AD74" s="62"/>
      <c r="AE74" s="62"/>
      <c r="AF74" s="62"/>
      <c r="AG74" s="62"/>
      <c r="AH74" s="62"/>
      <c r="AI74" s="27"/>
    </row>
  </sheetData>
  <mergeCells count="8">
    <mergeCell ref="H4:J4"/>
    <mergeCell ref="H8:J8"/>
    <mergeCell ref="H9:J9"/>
    <mergeCell ref="D11:E11"/>
    <mergeCell ref="G29:I29"/>
    <mergeCell ref="G33:I33"/>
    <mergeCell ref="AD5:AH5"/>
    <mergeCell ref="Q5:Y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32BA-B625-4D6F-99FC-6A849E19A711}">
  <dimension ref="B1:AL24"/>
  <sheetViews>
    <sheetView zoomScale="55" zoomScaleNormal="55" workbookViewId="0">
      <selection sqref="A1:XFD1048576"/>
    </sheetView>
  </sheetViews>
  <sheetFormatPr defaultRowHeight="15" x14ac:dyDescent="0.25"/>
  <cols>
    <col min="1" max="1" width="9.140625" style="33"/>
    <col min="2" max="2" width="12.28515625" style="33" bestFit="1" customWidth="1"/>
    <col min="3" max="3" width="16" style="33" bestFit="1" customWidth="1"/>
    <col min="4" max="5" width="9.42578125" style="33" bestFit="1" customWidth="1"/>
    <col min="6" max="6" width="16" style="33" bestFit="1" customWidth="1"/>
    <col min="7" max="7" width="10.85546875" style="33" bestFit="1" customWidth="1"/>
    <col min="8" max="8" width="12.140625" style="33" bestFit="1" customWidth="1"/>
    <col min="9" max="9" width="16" style="33" bestFit="1" customWidth="1"/>
    <col min="10" max="10" width="10.85546875" style="33" bestFit="1" customWidth="1"/>
    <col min="11" max="11" width="12.140625" style="33" bestFit="1" customWidth="1"/>
    <col min="12" max="12" width="16" style="33" bestFit="1" customWidth="1"/>
    <col min="13" max="14" width="10.85546875" style="33" bestFit="1" customWidth="1"/>
    <col min="15" max="15" width="16" style="33" bestFit="1" customWidth="1"/>
    <col min="16" max="16" width="10.85546875" style="33" bestFit="1" customWidth="1"/>
    <col min="17" max="17" width="12.140625" style="33" bestFit="1" customWidth="1"/>
    <col min="18" max="18" width="16.7109375" style="33" bestFit="1" customWidth="1"/>
    <col min="19" max="19" width="10.85546875" style="33" bestFit="1" customWidth="1"/>
    <col min="20" max="20" width="12.140625" style="33" bestFit="1" customWidth="1"/>
    <col min="21" max="21" width="16" style="33" bestFit="1" customWidth="1"/>
    <col min="22" max="23" width="10.85546875" style="33" bestFit="1" customWidth="1"/>
    <col min="24" max="26" width="9.140625" style="33"/>
    <col min="27" max="27" width="12.5703125" style="33" bestFit="1" customWidth="1"/>
    <col min="28" max="28" width="10.85546875" style="33" bestFit="1" customWidth="1"/>
    <col min="29" max="29" width="12.140625" style="33" bestFit="1" customWidth="1"/>
    <col min="30" max="30" width="12.5703125" style="33" bestFit="1" customWidth="1"/>
    <col min="31" max="31" width="10.85546875" style="33" bestFit="1" customWidth="1"/>
    <col min="32" max="32" width="12.140625" style="33" bestFit="1" customWidth="1"/>
    <col min="33" max="33" width="12.5703125" style="33" bestFit="1" customWidth="1"/>
    <col min="34" max="34" width="10.85546875" style="33" bestFit="1" customWidth="1"/>
    <col min="35" max="35" width="12.140625" style="33" bestFit="1" customWidth="1"/>
    <col min="36" max="36" width="12.5703125" style="33" bestFit="1" customWidth="1"/>
    <col min="37" max="38" width="10.85546875" style="33" bestFit="1" customWidth="1"/>
    <col min="39" max="16384" width="9.140625" style="33"/>
  </cols>
  <sheetData>
    <row r="1" spans="2:38" s="33" customFormat="1" ht="15.75" thickBot="1" x14ac:dyDescent="0.3"/>
    <row r="2" spans="2:38" s="33" customFormat="1" x14ac:dyDescent="0.25">
      <c r="C2" s="93" t="s">
        <v>82</v>
      </c>
      <c r="D2" s="94"/>
      <c r="E2" s="95">
        <v>1</v>
      </c>
      <c r="F2" s="93" t="s">
        <v>82</v>
      </c>
      <c r="G2" s="94"/>
      <c r="H2" s="95">
        <v>2</v>
      </c>
      <c r="I2" s="93" t="s">
        <v>82</v>
      </c>
      <c r="J2" s="94"/>
      <c r="K2" s="95">
        <v>5</v>
      </c>
      <c r="L2" s="93" t="s">
        <v>81</v>
      </c>
      <c r="M2" s="94"/>
      <c r="N2" s="95">
        <v>0.01</v>
      </c>
      <c r="O2" s="93" t="s">
        <v>81</v>
      </c>
      <c r="P2" s="94"/>
      <c r="Q2" s="95">
        <v>0.02</v>
      </c>
      <c r="R2" s="93" t="s">
        <v>81</v>
      </c>
      <c r="S2" s="94"/>
      <c r="T2" s="95">
        <v>0.05</v>
      </c>
      <c r="U2" s="93" t="s">
        <v>81</v>
      </c>
      <c r="V2" s="94"/>
      <c r="W2" s="95">
        <v>0.1</v>
      </c>
    </row>
    <row r="3" spans="2:38" s="33" customFormat="1" ht="15.75" thickBot="1" x14ac:dyDescent="0.3">
      <c r="C3" s="96" t="s">
        <v>80</v>
      </c>
      <c r="D3" s="33" t="s">
        <v>79</v>
      </c>
      <c r="E3" s="97" t="s">
        <v>83</v>
      </c>
      <c r="F3" s="96" t="s">
        <v>80</v>
      </c>
      <c r="G3" s="33" t="s">
        <v>79</v>
      </c>
      <c r="H3" s="97" t="s">
        <v>83</v>
      </c>
      <c r="I3" s="96" t="s">
        <v>80</v>
      </c>
      <c r="J3" s="33" t="s">
        <v>79</v>
      </c>
      <c r="K3" s="97" t="s">
        <v>83</v>
      </c>
      <c r="L3" s="96" t="s">
        <v>80</v>
      </c>
      <c r="M3" s="33" t="s">
        <v>79</v>
      </c>
      <c r="N3" s="97" t="s">
        <v>83</v>
      </c>
      <c r="O3" s="96" t="s">
        <v>80</v>
      </c>
      <c r="P3" s="33" t="s">
        <v>79</v>
      </c>
      <c r="Q3" s="97" t="s">
        <v>83</v>
      </c>
      <c r="R3" s="96" t="s">
        <v>80</v>
      </c>
      <c r="S3" s="33" t="s">
        <v>79</v>
      </c>
      <c r="T3" s="97" t="s">
        <v>83</v>
      </c>
      <c r="U3" s="96" t="s">
        <v>80</v>
      </c>
      <c r="V3" s="33" t="s">
        <v>79</v>
      </c>
      <c r="W3" s="97" t="s">
        <v>83</v>
      </c>
    </row>
    <row r="4" spans="2:38" s="33" customFormat="1" x14ac:dyDescent="0.25">
      <c r="C4" s="96">
        <v>2.0644999999999998</v>
      </c>
      <c r="D4" s="33">
        <v>1.9758</v>
      </c>
      <c r="E4" s="97">
        <f>(C4*0.000001)/($E$2*0.000000001)</f>
        <v>2064.4999999999995</v>
      </c>
      <c r="F4" s="96">
        <v>3.4294899999999999</v>
      </c>
      <c r="G4" s="33">
        <v>2</v>
      </c>
      <c r="H4" s="97">
        <f>(F4*0.000001)/($H$2*0.000000001)</f>
        <v>1714.7449999999997</v>
      </c>
      <c r="I4" s="96">
        <v>7.8237699999999997</v>
      </c>
      <c r="J4" s="33">
        <v>2</v>
      </c>
      <c r="K4" s="97">
        <f>(I4*0.000001)/($K$2*0.000000001)</f>
        <v>1564.7539999999999</v>
      </c>
      <c r="L4" s="96">
        <v>16.228300000000001</v>
      </c>
      <c r="M4" s="33">
        <v>1.9758500000000001</v>
      </c>
      <c r="N4" s="97">
        <f>(L4*0.000001)/($N$2*0.000001)</f>
        <v>1622.8299999999997</v>
      </c>
      <c r="O4" s="96">
        <v>33.131700000000002</v>
      </c>
      <c r="P4" s="33">
        <v>2</v>
      </c>
      <c r="Q4" s="97">
        <f>(O4*0.000001)/($Q$2*0.000001)</f>
        <v>1656.585</v>
      </c>
      <c r="R4" s="96">
        <v>72.071899999999999</v>
      </c>
      <c r="S4" s="33">
        <v>2</v>
      </c>
      <c r="T4" s="97">
        <f>(R4*0.000001)/($T$2*0.000001)</f>
        <v>1441.4379999999999</v>
      </c>
      <c r="U4" s="96">
        <v>154.31200000000001</v>
      </c>
      <c r="V4" s="33">
        <v>2</v>
      </c>
      <c r="W4" s="97">
        <f>(U4*0.000001)/($W$2*0.000001)</f>
        <v>1543.1200000000001</v>
      </c>
      <c r="AA4" s="56" t="s">
        <v>82</v>
      </c>
      <c r="AB4" s="57"/>
      <c r="AC4" s="34">
        <v>1</v>
      </c>
      <c r="AD4" s="56" t="s">
        <v>82</v>
      </c>
      <c r="AE4" s="57"/>
      <c r="AF4" s="34">
        <v>2</v>
      </c>
      <c r="AG4" s="56" t="s">
        <v>82</v>
      </c>
      <c r="AH4" s="57"/>
      <c r="AI4" s="34">
        <v>5</v>
      </c>
      <c r="AJ4" s="56" t="s">
        <v>81</v>
      </c>
      <c r="AK4" s="57"/>
      <c r="AL4" s="34">
        <v>0.01</v>
      </c>
    </row>
    <row r="5" spans="2:38" s="33" customFormat="1" x14ac:dyDescent="0.25">
      <c r="C5" s="96">
        <v>16.228000000000002</v>
      </c>
      <c r="D5" s="33">
        <v>18.936</v>
      </c>
      <c r="E5" s="97">
        <f t="shared" ref="E5:E6" si="0">(C5*0.000001)/($E$2*0.000000001)</f>
        <v>16228</v>
      </c>
      <c r="F5" s="96">
        <v>29.183499999999999</v>
      </c>
      <c r="G5" s="33">
        <v>17.604399999999998</v>
      </c>
      <c r="H5" s="97">
        <f t="shared" ref="H5:H6" si="1">(F5*0.000001)/($H$2*0.000000001)</f>
        <v>14591.749999999996</v>
      </c>
      <c r="I5" s="96">
        <v>66.577100000000002</v>
      </c>
      <c r="J5" s="33">
        <v>19.167300000000001</v>
      </c>
      <c r="K5" s="97">
        <f>(I5*0.000001)/($K$2*0.000000001)</f>
        <v>13315.42</v>
      </c>
      <c r="L5" s="96">
        <v>125.56100000000001</v>
      </c>
      <c r="M5" s="33">
        <v>15.973699999999999</v>
      </c>
      <c r="N5" s="97">
        <f t="shared" ref="N5" si="2">(L5*0.000001)/($N$2*0.000001)</f>
        <v>12556.1</v>
      </c>
      <c r="O5" s="96">
        <v>295.67700000000002</v>
      </c>
      <c r="P5" s="33">
        <v>18.037400000000002</v>
      </c>
      <c r="Q5" s="97">
        <f t="shared" ref="Q5" si="3">(O5*0.000001)/($Q$2*0.000001)</f>
        <v>14783.849999999999</v>
      </c>
      <c r="R5" s="96">
        <v>707.40599999999995</v>
      </c>
      <c r="S5" s="33">
        <v>19.6388</v>
      </c>
      <c r="T5" s="97">
        <f t="shared" ref="T5:T6" si="4">(R5*0.000001)/($T$2*0.000001)</f>
        <v>14148.119999999999</v>
      </c>
      <c r="U5" s="96">
        <v>1156.6500000000001</v>
      </c>
      <c r="V5" s="33">
        <v>15.973699999999999</v>
      </c>
      <c r="W5" s="97">
        <f t="shared" ref="W5:W6" si="5">(U5*0.000001)/($W$2*0.000001)</f>
        <v>11566.5</v>
      </c>
      <c r="AA5" s="35" t="s">
        <v>80</v>
      </c>
      <c r="AB5" s="36" t="s">
        <v>79</v>
      </c>
      <c r="AC5" s="37" t="s">
        <v>83</v>
      </c>
      <c r="AD5" s="35" t="s">
        <v>80</v>
      </c>
      <c r="AE5" s="36" t="s">
        <v>79</v>
      </c>
      <c r="AF5" s="37" t="s">
        <v>83</v>
      </c>
      <c r="AG5" s="35" t="s">
        <v>80</v>
      </c>
      <c r="AH5" s="36" t="s">
        <v>79</v>
      </c>
      <c r="AI5" s="37" t="s">
        <v>83</v>
      </c>
      <c r="AJ5" s="35" t="s">
        <v>80</v>
      </c>
      <c r="AK5" s="36" t="s">
        <v>79</v>
      </c>
      <c r="AL5" s="37" t="s">
        <v>83</v>
      </c>
    </row>
    <row r="6" spans="2:38" s="33" customFormat="1" ht="15.75" thickBot="1" x14ac:dyDescent="0.3">
      <c r="C6" s="98">
        <v>108.86</v>
      </c>
      <c r="D6" s="45">
        <v>151.24</v>
      </c>
      <c r="E6" s="99">
        <f t="shared" si="0"/>
        <v>108859.99999999999</v>
      </c>
      <c r="F6" s="98">
        <v>244.43199999999999</v>
      </c>
      <c r="G6" s="45">
        <v>151.23699999999999</v>
      </c>
      <c r="H6" s="99">
        <f t="shared" si="1"/>
        <v>122215.99999999999</v>
      </c>
      <c r="I6" s="98">
        <v>468.35500000000002</v>
      </c>
      <c r="J6" s="45">
        <v>151.23699999999999</v>
      </c>
      <c r="K6" s="99">
        <f>(I6*0.000001)/($K$2*0.000000001)</f>
        <v>93671</v>
      </c>
      <c r="L6" s="98">
        <v>1138.45</v>
      </c>
      <c r="M6" s="45">
        <v>151.23699999999999</v>
      </c>
      <c r="N6" s="99">
        <f>(L6*0.000001)/($N$2*0.000001)</f>
        <v>113845</v>
      </c>
      <c r="O6" s="98">
        <v>2437.5300000000002</v>
      </c>
      <c r="P6" s="45">
        <v>149.41</v>
      </c>
      <c r="Q6" s="99">
        <f>(O6*0.000001)/($Q$2*0.000001)</f>
        <v>121876.50000000001</v>
      </c>
      <c r="R6" s="98">
        <v>5473.28</v>
      </c>
      <c r="S6" s="45">
        <v>151.23699999999999</v>
      </c>
      <c r="T6" s="99">
        <f t="shared" si="4"/>
        <v>109465.59999999999</v>
      </c>
      <c r="U6" s="98">
        <v>10159.9</v>
      </c>
      <c r="V6" s="45">
        <v>151.23699999999999</v>
      </c>
      <c r="W6" s="99">
        <f t="shared" si="5"/>
        <v>101599</v>
      </c>
      <c r="AA6" s="35">
        <v>2.0644999999999998</v>
      </c>
      <c r="AB6" s="36">
        <v>1.9758</v>
      </c>
      <c r="AC6" s="37">
        <f>(AA6*0.000001)/($E$2*0.000000001)</f>
        <v>2064.4999999999995</v>
      </c>
      <c r="AD6" s="35">
        <v>3.4294899999999999</v>
      </c>
      <c r="AE6" s="36">
        <v>2</v>
      </c>
      <c r="AF6" s="37">
        <f>(AD6*0.000001)/($H$2*0.000000001)</f>
        <v>1714.7449999999997</v>
      </c>
      <c r="AG6" s="35">
        <v>7.8237699999999997</v>
      </c>
      <c r="AH6" s="36">
        <v>2</v>
      </c>
      <c r="AI6" s="37">
        <f>(AG6*0.000001)/($K$2*0.000000001)</f>
        <v>1564.7539999999999</v>
      </c>
      <c r="AJ6" s="35">
        <v>16.228300000000001</v>
      </c>
      <c r="AK6" s="36">
        <v>1.9758500000000001</v>
      </c>
      <c r="AL6" s="37">
        <f>(AJ6*0.000001)/($N$2*0.000001)</f>
        <v>1622.8299999999997</v>
      </c>
    </row>
    <row r="7" spans="2:38" s="33" customFormat="1" x14ac:dyDescent="0.25">
      <c r="AA7" s="35">
        <v>16.228000000000002</v>
      </c>
      <c r="AB7" s="36">
        <v>18.936</v>
      </c>
      <c r="AC7" s="37">
        <f t="shared" ref="AC7:AC8" si="6">(AA7*0.000001)/($E$2*0.000000001)</f>
        <v>16228</v>
      </c>
      <c r="AD7" s="35">
        <v>29.183499999999999</v>
      </c>
      <c r="AE7" s="36">
        <v>17.604399999999998</v>
      </c>
      <c r="AF7" s="37">
        <f t="shared" ref="AF7:AF8" si="7">(AD7*0.000001)/($H$2*0.000000001)</f>
        <v>14591.749999999996</v>
      </c>
      <c r="AG7" s="35">
        <v>66.577100000000002</v>
      </c>
      <c r="AH7" s="36">
        <v>19.167300000000001</v>
      </c>
      <c r="AI7" s="37">
        <f>(AG7*0.000001)/($K$2*0.000000001)</f>
        <v>13315.42</v>
      </c>
      <c r="AJ7" s="35">
        <v>125.56100000000001</v>
      </c>
      <c r="AK7" s="36">
        <v>15.973699999999999</v>
      </c>
      <c r="AL7" s="37">
        <f t="shared" ref="AL7" si="8">(AJ7*0.000001)/($N$2*0.000001)</f>
        <v>12556.1</v>
      </c>
    </row>
    <row r="8" spans="2:38" s="33" customFormat="1" ht="15.75" thickBot="1" x14ac:dyDescent="0.3">
      <c r="B8" s="33" t="s">
        <v>84</v>
      </c>
      <c r="C8" s="33">
        <f>SLOPE(E4:E6,D4:D6)/1000</f>
        <v>0.70963984817152015</v>
      </c>
      <c r="F8" s="33">
        <f>SLOPE(H4:H6,G4:G6)/1000</f>
        <v>0.80663839859226116</v>
      </c>
      <c r="I8" s="33">
        <f>SLOPE(K4:K6,J4:J6)/1000</f>
        <v>0.61386299816897105</v>
      </c>
      <c r="L8" s="33">
        <f>SLOPE(N4:N6,M4:M6)/1000</f>
        <v>0.7506347654730583</v>
      </c>
      <c r="O8" s="33">
        <f>SLOPE(Q4:Q6,P4:P6)/1000</f>
        <v>0.81540683938344005</v>
      </c>
      <c r="R8" s="33">
        <f>SLOPE(T4:T6,S4:S6)/1000</f>
        <v>0.72401736333832878</v>
      </c>
      <c r="U8" s="33">
        <f>SLOPE(W4:W6,V4:V6)/1000</f>
        <v>0.66850145323611077</v>
      </c>
      <c r="AA8" s="38">
        <v>108.86</v>
      </c>
      <c r="AB8" s="39">
        <v>151.24</v>
      </c>
      <c r="AC8" s="40">
        <f t="shared" si="6"/>
        <v>108859.99999999999</v>
      </c>
      <c r="AD8" s="38">
        <v>244.43199999999999</v>
      </c>
      <c r="AE8" s="39">
        <v>151.23699999999999</v>
      </c>
      <c r="AF8" s="40">
        <f t="shared" si="7"/>
        <v>122215.99999999999</v>
      </c>
      <c r="AG8" s="38">
        <v>468.35500000000002</v>
      </c>
      <c r="AH8" s="39">
        <v>151.23699999999999</v>
      </c>
      <c r="AI8" s="40">
        <f>(AG8*0.000001)/($K$2*0.000000001)</f>
        <v>93671</v>
      </c>
      <c r="AJ8" s="38">
        <v>1138.45</v>
      </c>
      <c r="AK8" s="39">
        <v>151.23699999999999</v>
      </c>
      <c r="AL8" s="40">
        <f>(AJ8*0.000001)/($N$2*0.000001)</f>
        <v>113845</v>
      </c>
    </row>
    <row r="9" spans="2:38" s="33" customFormat="1" x14ac:dyDescent="0.25">
      <c r="B9" s="33" t="s">
        <v>86</v>
      </c>
      <c r="C9" s="33">
        <f>INTERCEPT(E4:E6,D4:D6)/1000</f>
        <v>1.6622409285153625</v>
      </c>
      <c r="F9" s="33">
        <f>INTERCEPT(H4:H6,G4:G6)/1000</f>
        <v>0.23842056358002447</v>
      </c>
      <c r="I9" s="33">
        <f>INTERCEPT(K4:K6,J4:J6)/1000</f>
        <v>0.90618450159241914</v>
      </c>
      <c r="L9" s="33">
        <f>INTERCEPT(N4:N6,M4:M6)/1000</f>
        <v>0.34220790651805144</v>
      </c>
      <c r="O9" s="33">
        <f>INTERCEPT(Q4:Q6,P4:P6)/1000</f>
        <v>4.9455374752833452E-2</v>
      </c>
      <c r="R9" s="33">
        <f>INTERCEPT(T4:T6,S4:S6)/1000</f>
        <v>-3.6640967001425453E-2</v>
      </c>
      <c r="U9" s="33">
        <f>INTERCEPT(W4:W6,V4:V6)/1000</f>
        <v>0.53034038230013536</v>
      </c>
      <c r="AA9" s="58" t="s">
        <v>81</v>
      </c>
      <c r="AB9" s="59"/>
      <c r="AC9" s="41">
        <v>0.02</v>
      </c>
      <c r="AD9" s="58" t="s">
        <v>81</v>
      </c>
      <c r="AE9" s="59"/>
      <c r="AF9" s="41">
        <v>0.05</v>
      </c>
      <c r="AG9" s="56" t="s">
        <v>81</v>
      </c>
      <c r="AH9" s="57"/>
      <c r="AI9" s="34">
        <v>0.1</v>
      </c>
      <c r="AJ9" s="42"/>
    </row>
    <row r="10" spans="2:38" s="33" customFormat="1" x14ac:dyDescent="0.25">
      <c r="B10" s="33" t="s">
        <v>85</v>
      </c>
      <c r="C10" s="33">
        <f>SUM(C8,F8,I8,L8,O8,R8,U8)/7</f>
        <v>0.72695738090909856</v>
      </c>
      <c r="AA10" s="35" t="s">
        <v>80</v>
      </c>
      <c r="AB10" s="36" t="s">
        <v>79</v>
      </c>
      <c r="AC10" s="37" t="s">
        <v>83</v>
      </c>
      <c r="AD10" s="35" t="s">
        <v>80</v>
      </c>
      <c r="AE10" s="36" t="s">
        <v>79</v>
      </c>
      <c r="AF10" s="37" t="s">
        <v>83</v>
      </c>
      <c r="AG10" s="35" t="s">
        <v>80</v>
      </c>
      <c r="AH10" s="36" t="s">
        <v>79</v>
      </c>
      <c r="AI10" s="37" t="s">
        <v>83</v>
      </c>
    </row>
    <row r="11" spans="2:38" s="33" customFormat="1" x14ac:dyDescent="0.25">
      <c r="AA11" s="35">
        <v>33.131700000000002</v>
      </c>
      <c r="AB11" s="36">
        <v>2</v>
      </c>
      <c r="AC11" s="37">
        <f>(AA11*0.000001)/($Q$2*0.000001)</f>
        <v>1656.585</v>
      </c>
      <c r="AD11" s="35">
        <v>72.071899999999999</v>
      </c>
      <c r="AE11" s="36">
        <v>2</v>
      </c>
      <c r="AF11" s="37">
        <f>(AD11*0.000001)/($T$2*0.000001)</f>
        <v>1441.4379999999999</v>
      </c>
      <c r="AG11" s="35">
        <v>154.31200000000001</v>
      </c>
      <c r="AH11" s="36">
        <v>2</v>
      </c>
      <c r="AI11" s="37">
        <f>(AG11*0.000001)/($W$2*0.000001)</f>
        <v>1543.1200000000001</v>
      </c>
    </row>
    <row r="12" spans="2:38" s="33" customFormat="1" x14ac:dyDescent="0.25">
      <c r="AA12" s="35">
        <v>295.67700000000002</v>
      </c>
      <c r="AB12" s="36">
        <v>18.037400000000002</v>
      </c>
      <c r="AC12" s="37">
        <f t="shared" ref="AC12" si="9">(AA12*0.000001)/($Q$2*0.000001)</f>
        <v>14783.849999999999</v>
      </c>
      <c r="AD12" s="35">
        <v>707.40599999999995</v>
      </c>
      <c r="AE12" s="36">
        <v>19.6388</v>
      </c>
      <c r="AF12" s="37">
        <f t="shared" ref="AF12:AF13" si="10">(AD12*0.000001)/($T$2*0.000001)</f>
        <v>14148.119999999999</v>
      </c>
      <c r="AG12" s="35">
        <v>1156.6500000000001</v>
      </c>
      <c r="AH12" s="36">
        <v>15.973699999999999</v>
      </c>
      <c r="AI12" s="37">
        <f t="shared" ref="AI12:AI13" si="11">(AG12*0.000001)/($W$2*0.000001)</f>
        <v>11566.5</v>
      </c>
    </row>
    <row r="13" spans="2:38" s="33" customFormat="1" ht="15.75" thickBot="1" x14ac:dyDescent="0.3">
      <c r="AA13" s="38">
        <v>2437.5300000000002</v>
      </c>
      <c r="AB13" s="39">
        <v>149.41</v>
      </c>
      <c r="AC13" s="40">
        <f>(AA13*0.000001)/($Q$2*0.000001)</f>
        <v>121876.50000000001</v>
      </c>
      <c r="AD13" s="38">
        <v>5473.28</v>
      </c>
      <c r="AE13" s="39">
        <v>151.23699999999999</v>
      </c>
      <c r="AF13" s="40">
        <f t="shared" si="10"/>
        <v>109465.59999999999</v>
      </c>
      <c r="AG13" s="38">
        <v>10159.9</v>
      </c>
      <c r="AH13" s="39">
        <v>151.23699999999999</v>
      </c>
      <c r="AI13" s="40">
        <f t="shared" si="11"/>
        <v>101599</v>
      </c>
    </row>
    <row r="14" spans="2:38" s="33" customFormat="1" x14ac:dyDescent="0.25"/>
    <row r="17" spans="29:31" s="33" customFormat="1" x14ac:dyDescent="0.25">
      <c r="AC17" s="36" t="s">
        <v>87</v>
      </c>
      <c r="AD17" s="36" t="s">
        <v>95</v>
      </c>
      <c r="AE17" s="36" t="s">
        <v>96</v>
      </c>
    </row>
    <row r="18" spans="29:31" s="33" customFormat="1" x14ac:dyDescent="0.25">
      <c r="AC18" s="36" t="s">
        <v>88</v>
      </c>
      <c r="AD18" s="100">
        <f>SLOPE(E4:E6,D4:D6)/1000</f>
        <v>0.70963984817152015</v>
      </c>
      <c r="AE18" s="101">
        <f>SUM(AD18:AD24)/7</f>
        <v>0.72695738090909856</v>
      </c>
    </row>
    <row r="19" spans="29:31" s="33" customFormat="1" x14ac:dyDescent="0.25">
      <c r="AC19" s="36" t="s">
        <v>89</v>
      </c>
      <c r="AD19" s="100">
        <f>SLOPE(H4:H6,G4:G6)/1000</f>
        <v>0.80663839859226116</v>
      </c>
      <c r="AE19" s="101"/>
    </row>
    <row r="20" spans="29:31" s="33" customFormat="1" x14ac:dyDescent="0.25">
      <c r="AC20" s="36" t="s">
        <v>90</v>
      </c>
      <c r="AD20" s="100">
        <f>SLOPE(K4:K6,J4:J6)/1000</f>
        <v>0.61386299816897105</v>
      </c>
      <c r="AE20" s="101"/>
    </row>
    <row r="21" spans="29:31" s="33" customFormat="1" x14ac:dyDescent="0.25">
      <c r="AC21" s="36" t="s">
        <v>91</v>
      </c>
      <c r="AD21" s="100">
        <f>SLOPE(N4:N6,M4:M6)/1000</f>
        <v>0.7506347654730583</v>
      </c>
      <c r="AE21" s="101"/>
    </row>
    <row r="22" spans="29:31" s="33" customFormat="1" x14ac:dyDescent="0.25">
      <c r="AC22" s="36" t="s">
        <v>92</v>
      </c>
      <c r="AD22" s="100">
        <f>SLOPE(Q4:Q6,P4:P6)/1000</f>
        <v>0.81540683938344005</v>
      </c>
      <c r="AE22" s="101"/>
    </row>
    <row r="23" spans="29:31" s="33" customFormat="1" x14ac:dyDescent="0.25">
      <c r="AC23" s="36" t="s">
        <v>93</v>
      </c>
      <c r="AD23" s="100">
        <f>SLOPE(T4:T6,S4:S6)/1000</f>
        <v>0.72401736333832878</v>
      </c>
      <c r="AE23" s="101"/>
    </row>
    <row r="24" spans="29:31" s="33" customFormat="1" x14ac:dyDescent="0.25">
      <c r="AC24" s="36" t="s">
        <v>94</v>
      </c>
      <c r="AD24" s="100">
        <f>SLOPE(W4:W6,V4:V6)/1000</f>
        <v>0.66850145323611077</v>
      </c>
      <c r="AE24" s="101"/>
    </row>
  </sheetData>
  <sheetProtection algorithmName="SHA-512" hashValue="IBQYR/GxWIFl0hQj3WqwwDPpifA5EmdvHSV1bd0qEXiuWrcFAV0bo1LN/i8dBUXlljprQM1uM3hbSZFYTGYjLA==" saltValue="eeqH6jMNLYjw7sJg9KZL/w==" spinCount="100000" sheet="1" objects="1" scenarios="1" selectLockedCells="1"/>
  <sortState xmlns:xlrd2="http://schemas.microsoft.com/office/spreadsheetml/2017/richdata2" ref="U4:V6">
    <sortCondition ref="U4:U6"/>
  </sortState>
  <mergeCells count="15">
    <mergeCell ref="AE18:AE24"/>
    <mergeCell ref="R2:S2"/>
    <mergeCell ref="U2:V2"/>
    <mergeCell ref="C2:D2"/>
    <mergeCell ref="F2:G2"/>
    <mergeCell ref="I2:J2"/>
    <mergeCell ref="L2:M2"/>
    <mergeCell ref="O2:P2"/>
    <mergeCell ref="AA4:AB4"/>
    <mergeCell ref="AD4:AE4"/>
    <mergeCell ref="AG4:AH4"/>
    <mergeCell ref="AJ4:AK4"/>
    <mergeCell ref="AA9:AB9"/>
    <mergeCell ref="AD9:AE9"/>
    <mergeCell ref="AG9:AH9"/>
  </mergeCells>
  <phoneticPr fontId="14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0B4228-3D74-4560-9B83-CE660AD752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Ensaios Motor CC</vt:lpstr>
      <vt:lpstr>LM2917M-8</vt:lpstr>
      <vt:lpstr>SG3525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F9164</dc:creator>
  <cp:lastModifiedBy>a42959</cp:lastModifiedBy>
  <dcterms:created xsi:type="dcterms:W3CDTF">2025-11-27T19:39:45Z</dcterms:created>
  <dcterms:modified xsi:type="dcterms:W3CDTF">2026-07-12T21:25:37Z</dcterms:modified>
</cp:coreProperties>
</file>