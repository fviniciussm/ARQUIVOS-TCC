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wamenkrumahacademyorg-my.sharepoint.com/personal/f9164_vp365_me/Documents/Vinicius/UFC/TCC/Motor/"/>
    </mc:Choice>
  </mc:AlternateContent>
  <xr:revisionPtr revIDLastSave="437" documentId="8_{53353C24-36DA-40B7-8051-66227216CD6F}" xr6:coauthVersionLast="47" xr6:coauthVersionMax="47" xr10:uidLastSave="{9D6F6841-D289-4600-8A4B-BCB416E5C560}"/>
  <bookViews>
    <workbookView xWindow="20370" yWindow="-120" windowWidth="29040" windowHeight="15990" firstSheet="1" activeTab="1" xr2:uid="{7D2F6823-4A13-4695-B5B4-1EA996BEBAE4}"/>
  </bookViews>
  <sheets>
    <sheet name="Ensaios" sheetId="1" r:id="rId1"/>
    <sheet name="LM2917M-8" sheetId="2" r:id="rId2"/>
    <sheet name="SG3525" sheetId="4" r:id="rId3"/>
    <sheet name="Jm" sheetId="5" r:id="rId4"/>
    <sheet name="Planilha3" sheetId="3" r:id="rId5"/>
    <sheet name="Planilha1" sheetId="6" r:id="rId6"/>
    <sheet name="Planilha1 (2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N7" i="1"/>
  <c r="C4" i="5"/>
  <c r="U7" i="1"/>
  <c r="L8" i="1"/>
  <c r="Z7" i="1"/>
  <c r="AQ7" i="1"/>
  <c r="AE18" i="4"/>
  <c r="AD24" i="4"/>
  <c r="AD23" i="4"/>
  <c r="AD22" i="4"/>
  <c r="AD21" i="4"/>
  <c r="AD20" i="4"/>
  <c r="AD19" i="4"/>
  <c r="AD18" i="4"/>
  <c r="H4" i="4"/>
  <c r="AI13" i="4"/>
  <c r="AF13" i="4"/>
  <c r="AC13" i="4"/>
  <c r="AI12" i="4"/>
  <c r="AF12" i="4"/>
  <c r="AC12" i="4"/>
  <c r="AI11" i="4"/>
  <c r="AF11" i="4"/>
  <c r="AC11" i="4"/>
  <c r="AL8" i="4"/>
  <c r="AI8" i="4"/>
  <c r="AF8" i="4"/>
  <c r="AC8" i="4"/>
  <c r="AL7" i="4"/>
  <c r="AI7" i="4"/>
  <c r="AF7" i="4"/>
  <c r="AC7" i="4"/>
  <c r="AL6" i="4"/>
  <c r="AI6" i="4"/>
  <c r="AF6" i="4"/>
  <c r="AC6" i="4"/>
  <c r="E5" i="4"/>
  <c r="H5" i="4"/>
  <c r="K5" i="4"/>
  <c r="N5" i="4"/>
  <c r="Q5" i="4"/>
  <c r="T5" i="4"/>
  <c r="W5" i="4"/>
  <c r="E6" i="4"/>
  <c r="W6" i="4"/>
  <c r="T6" i="4"/>
  <c r="Q6" i="4"/>
  <c r="N6" i="4"/>
  <c r="K6" i="4"/>
  <c r="H6" i="4"/>
  <c r="W4" i="4"/>
  <c r="T4" i="4"/>
  <c r="Q4" i="4"/>
  <c r="O8" i="4" s="1"/>
  <c r="N4" i="4"/>
  <c r="L8" i="4" s="1"/>
  <c r="K4" i="4"/>
  <c r="E4" i="4"/>
  <c r="C8" i="4" s="1"/>
  <c r="AI74" i="2"/>
  <c r="AH74" i="2"/>
  <c r="AG74" i="2"/>
  <c r="AI73" i="2"/>
  <c r="AH73" i="2"/>
  <c r="AG73" i="2"/>
  <c r="AI72" i="2"/>
  <c r="AH72" i="2"/>
  <c r="AG72" i="2"/>
  <c r="AI71" i="2"/>
  <c r="AH71" i="2"/>
  <c r="AG71" i="2"/>
  <c r="AI70" i="2"/>
  <c r="AH70" i="2"/>
  <c r="AG70" i="2"/>
  <c r="AI69" i="2"/>
  <c r="AH69" i="2"/>
  <c r="AG69" i="2"/>
  <c r="AI68" i="2"/>
  <c r="AH68" i="2"/>
  <c r="AG68" i="2"/>
  <c r="AI67" i="2"/>
  <c r="AH67" i="2"/>
  <c r="AG67" i="2"/>
  <c r="AI66" i="2"/>
  <c r="AH66" i="2"/>
  <c r="AG66" i="2"/>
  <c r="AI65" i="2"/>
  <c r="AH65" i="2"/>
  <c r="AG65" i="2"/>
  <c r="AI64" i="2"/>
  <c r="AH64" i="2"/>
  <c r="AG64" i="2"/>
  <c r="AI63" i="2"/>
  <c r="AH63" i="2"/>
  <c r="AG63" i="2"/>
  <c r="AI62" i="2"/>
  <c r="AH62" i="2"/>
  <c r="AG62" i="2"/>
  <c r="AI61" i="2"/>
  <c r="AH61" i="2"/>
  <c r="AG61" i="2"/>
  <c r="AI60" i="2"/>
  <c r="AH60" i="2"/>
  <c r="AG60" i="2"/>
  <c r="AI59" i="2"/>
  <c r="AH59" i="2"/>
  <c r="AG59" i="2"/>
  <c r="AI58" i="2"/>
  <c r="AH58" i="2"/>
  <c r="AG58" i="2"/>
  <c r="AI57" i="2"/>
  <c r="AH57" i="2"/>
  <c r="AG57" i="2"/>
  <c r="AI56" i="2"/>
  <c r="AH56" i="2"/>
  <c r="AG56" i="2"/>
  <c r="AI55" i="2"/>
  <c r="AH55" i="2"/>
  <c r="AG55" i="2"/>
  <c r="AI54" i="2"/>
  <c r="AH54" i="2"/>
  <c r="AG54" i="2"/>
  <c r="AI53" i="2"/>
  <c r="AH53" i="2"/>
  <c r="AG53" i="2"/>
  <c r="AI52" i="2"/>
  <c r="AH52" i="2"/>
  <c r="AG52" i="2"/>
  <c r="AI51" i="2"/>
  <c r="AH51" i="2"/>
  <c r="AG51" i="2"/>
  <c r="AI50" i="2"/>
  <c r="AH50" i="2"/>
  <c r="AG50" i="2"/>
  <c r="AI49" i="2"/>
  <c r="AH49" i="2"/>
  <c r="AG49" i="2"/>
  <c r="AI48" i="2"/>
  <c r="AH48" i="2"/>
  <c r="AG48" i="2"/>
  <c r="AI47" i="2"/>
  <c r="AH47" i="2"/>
  <c r="AG47" i="2"/>
  <c r="AI46" i="2"/>
  <c r="AH46" i="2"/>
  <c r="AG46" i="2"/>
  <c r="AI45" i="2"/>
  <c r="AH45" i="2"/>
  <c r="AG45" i="2"/>
  <c r="AI44" i="2"/>
  <c r="AH44" i="2"/>
  <c r="AG44" i="2"/>
  <c r="AI43" i="2"/>
  <c r="AH43" i="2"/>
  <c r="AG43" i="2"/>
  <c r="H43" i="2"/>
  <c r="E43" i="2"/>
  <c r="AI42" i="2"/>
  <c r="AH42" i="2"/>
  <c r="AG42" i="2"/>
  <c r="AI41" i="2"/>
  <c r="AH41" i="2"/>
  <c r="AG41" i="2"/>
  <c r="N41" i="2"/>
  <c r="AI40" i="2"/>
  <c r="AH40" i="2"/>
  <c r="AG40" i="2"/>
  <c r="AI39" i="2"/>
  <c r="AH39" i="2"/>
  <c r="AG39" i="2"/>
  <c r="AI38" i="2"/>
  <c r="AH38" i="2"/>
  <c r="AG38" i="2"/>
  <c r="AI37" i="2"/>
  <c r="AH37" i="2"/>
  <c r="AG37" i="2"/>
  <c r="E37" i="2"/>
  <c r="AI36" i="2"/>
  <c r="AH36" i="2"/>
  <c r="AG36" i="2"/>
  <c r="AI35" i="2"/>
  <c r="AH35" i="2"/>
  <c r="AG35" i="2"/>
  <c r="I35" i="2"/>
  <c r="H35" i="2"/>
  <c r="E35" i="2"/>
  <c r="AI34" i="2"/>
  <c r="AH34" i="2"/>
  <c r="AG34" i="2"/>
  <c r="I34" i="2"/>
  <c r="H34" i="2"/>
  <c r="AI33" i="2"/>
  <c r="AH33" i="2"/>
  <c r="AG33" i="2"/>
  <c r="E33" i="2"/>
  <c r="AI32" i="2"/>
  <c r="AH32" i="2"/>
  <c r="AG32" i="2"/>
  <c r="AI31" i="2"/>
  <c r="AH31" i="2"/>
  <c r="AG31" i="2"/>
  <c r="H31" i="2"/>
  <c r="AI30" i="2"/>
  <c r="AH30" i="2"/>
  <c r="AG30" i="2"/>
  <c r="H30" i="2"/>
  <c r="E30" i="2"/>
  <c r="AI29" i="2"/>
  <c r="AH29" i="2"/>
  <c r="AG29" i="2"/>
  <c r="E29" i="2"/>
  <c r="AI28" i="2"/>
  <c r="AH28" i="2"/>
  <c r="AG28" i="2"/>
  <c r="AI27" i="2"/>
  <c r="AH27" i="2"/>
  <c r="AG27" i="2"/>
  <c r="AI26" i="2"/>
  <c r="AH26" i="2"/>
  <c r="AG26" i="2"/>
  <c r="AI25" i="2"/>
  <c r="AH25" i="2"/>
  <c r="AG25" i="2"/>
  <c r="AI24" i="2"/>
  <c r="AH24" i="2"/>
  <c r="AG24" i="2"/>
  <c r="AI23" i="2"/>
  <c r="AH23" i="2"/>
  <c r="AG23" i="2"/>
  <c r="AI22" i="2"/>
  <c r="AH22" i="2"/>
  <c r="AG22" i="2"/>
  <c r="AI21" i="2"/>
  <c r="AG21" i="2"/>
  <c r="AH21" i="2" s="1"/>
  <c r="AI20" i="2"/>
  <c r="AH20" i="2"/>
  <c r="AG20" i="2"/>
  <c r="AI19" i="2"/>
  <c r="AG19" i="2"/>
  <c r="AH19" i="2" s="1"/>
  <c r="AI18" i="2"/>
  <c r="AG18" i="2"/>
  <c r="AH18" i="2" s="1"/>
  <c r="AI17" i="2"/>
  <c r="AG17" i="2"/>
  <c r="AH17" i="2" s="1"/>
  <c r="E17" i="2"/>
  <c r="AI16" i="2"/>
  <c r="AG16" i="2"/>
  <c r="AH16" i="2" s="1"/>
  <c r="AI15" i="2"/>
  <c r="AH15" i="2"/>
  <c r="AG15" i="2"/>
  <c r="AI14" i="2"/>
  <c r="AG14" i="2"/>
  <c r="AH14" i="2" s="1"/>
  <c r="AI13" i="2"/>
  <c r="AG13" i="2"/>
  <c r="AH13" i="2" s="1"/>
  <c r="AI12" i="2"/>
  <c r="AG12" i="2"/>
  <c r="AH12" i="2" s="1"/>
  <c r="AI11" i="2"/>
  <c r="AH11" i="2"/>
  <c r="AG11" i="2"/>
  <c r="AI10" i="2"/>
  <c r="AG10" i="2"/>
  <c r="AH10" i="2" s="1"/>
  <c r="AI9" i="2"/>
  <c r="AG9" i="2"/>
  <c r="AH9" i="2" s="1"/>
  <c r="H9" i="2"/>
  <c r="AI8" i="2"/>
  <c r="AG8" i="2"/>
  <c r="AH8" i="2" s="1"/>
  <c r="AI7" i="2"/>
  <c r="AG7" i="2"/>
  <c r="AH7" i="2" s="1"/>
  <c r="H6" i="2"/>
  <c r="F6" i="2"/>
  <c r="AG80" i="1"/>
  <c r="AH80" i="1" s="1"/>
  <c r="AE80" i="1"/>
  <c r="AG79" i="1"/>
  <c r="AH79" i="1" s="1"/>
  <c r="AE79" i="1"/>
  <c r="AH78" i="1"/>
  <c r="AG78" i="1"/>
  <c r="AE78" i="1"/>
  <c r="AG77" i="1"/>
  <c r="AH77" i="1" s="1"/>
  <c r="AE77" i="1"/>
  <c r="AH76" i="1"/>
  <c r="AG76" i="1"/>
  <c r="AE76" i="1"/>
  <c r="AG75" i="1"/>
  <c r="AH75" i="1" s="1"/>
  <c r="AE75" i="1"/>
  <c r="AH74" i="1"/>
  <c r="AG74" i="1"/>
  <c r="AE74" i="1"/>
  <c r="AG73" i="1"/>
  <c r="AH73" i="1" s="1"/>
  <c r="AE73" i="1"/>
  <c r="AH72" i="1"/>
  <c r="AG72" i="1"/>
  <c r="AE72" i="1"/>
  <c r="AG71" i="1"/>
  <c r="AH71" i="1" s="1"/>
  <c r="AE71" i="1"/>
  <c r="AH70" i="1"/>
  <c r="AG70" i="1"/>
  <c r="AE70" i="1"/>
  <c r="AG69" i="1"/>
  <c r="AH69" i="1" s="1"/>
  <c r="AE69" i="1"/>
  <c r="AH68" i="1"/>
  <c r="AG68" i="1"/>
  <c r="AE68" i="1"/>
  <c r="AG67" i="1"/>
  <c r="AH67" i="1" s="1"/>
  <c r="AE67" i="1"/>
  <c r="AH66" i="1"/>
  <c r="AG66" i="1"/>
  <c r="AE66" i="1"/>
  <c r="E66" i="1"/>
  <c r="F66" i="1" s="1"/>
  <c r="AG65" i="1"/>
  <c r="AH65" i="1" s="1"/>
  <c r="AE65" i="1"/>
  <c r="F65" i="1"/>
  <c r="E65" i="1"/>
  <c r="AH64" i="1"/>
  <c r="AG64" i="1"/>
  <c r="AE64" i="1"/>
  <c r="E64" i="1"/>
  <c r="F64" i="1" s="1"/>
  <c r="AG63" i="1"/>
  <c r="AH63" i="1" s="1"/>
  <c r="AE63" i="1"/>
  <c r="F63" i="1"/>
  <c r="E63" i="1"/>
  <c r="AH62" i="1"/>
  <c r="AG62" i="1"/>
  <c r="AE62" i="1"/>
  <c r="E62" i="1"/>
  <c r="F62" i="1" s="1"/>
  <c r="AG61" i="1"/>
  <c r="AH61" i="1" s="1"/>
  <c r="AE61" i="1"/>
  <c r="F61" i="1"/>
  <c r="E61" i="1"/>
  <c r="AH60" i="1"/>
  <c r="AG60" i="1"/>
  <c r="AE60" i="1"/>
  <c r="E60" i="1"/>
  <c r="F60" i="1" s="1"/>
  <c r="AG59" i="1"/>
  <c r="AH59" i="1" s="1"/>
  <c r="AE59" i="1"/>
  <c r="F59" i="1"/>
  <c r="E59" i="1"/>
  <c r="AH58" i="1"/>
  <c r="AG58" i="1"/>
  <c r="AE58" i="1"/>
  <c r="E58" i="1"/>
  <c r="F58" i="1" s="1"/>
  <c r="AG57" i="1"/>
  <c r="AH57" i="1" s="1"/>
  <c r="AE57" i="1"/>
  <c r="F57" i="1"/>
  <c r="E57" i="1"/>
  <c r="AH56" i="1"/>
  <c r="AG56" i="1"/>
  <c r="AE56" i="1"/>
  <c r="E56" i="1"/>
  <c r="F56" i="1" s="1"/>
  <c r="AG55" i="1"/>
  <c r="AH55" i="1" s="1"/>
  <c r="AE55" i="1"/>
  <c r="F55" i="1"/>
  <c r="E55" i="1"/>
  <c r="AH54" i="1"/>
  <c r="AG54" i="1"/>
  <c r="AE54" i="1"/>
  <c r="E54" i="1"/>
  <c r="F54" i="1" s="1"/>
  <c r="AG53" i="1"/>
  <c r="AH53" i="1" s="1"/>
  <c r="AE53" i="1"/>
  <c r="F53" i="1"/>
  <c r="E53" i="1"/>
  <c r="AH52" i="1"/>
  <c r="AG52" i="1"/>
  <c r="AE52" i="1"/>
  <c r="E52" i="1"/>
  <c r="F52" i="1" s="1"/>
  <c r="AG51" i="1"/>
  <c r="AH51" i="1" s="1"/>
  <c r="AE51" i="1"/>
  <c r="F51" i="1"/>
  <c r="E51" i="1"/>
  <c r="AH50" i="1"/>
  <c r="AG50" i="1"/>
  <c r="AE50" i="1"/>
  <c r="E50" i="1"/>
  <c r="F50" i="1" s="1"/>
  <c r="AG49" i="1"/>
  <c r="AH49" i="1" s="1"/>
  <c r="AE49" i="1"/>
  <c r="F49" i="1"/>
  <c r="E49" i="1"/>
  <c r="AH48" i="1"/>
  <c r="AG48" i="1"/>
  <c r="AE48" i="1"/>
  <c r="E48" i="1"/>
  <c r="F48" i="1" s="1"/>
  <c r="AG47" i="1"/>
  <c r="AH47" i="1" s="1"/>
  <c r="AE47" i="1"/>
  <c r="F47" i="1"/>
  <c r="E47" i="1"/>
  <c r="AH46" i="1"/>
  <c r="AG46" i="1"/>
  <c r="AE46" i="1"/>
  <c r="E46" i="1"/>
  <c r="F46" i="1" s="1"/>
  <c r="AG45" i="1"/>
  <c r="AH45" i="1" s="1"/>
  <c r="AE45" i="1"/>
  <c r="F45" i="1"/>
  <c r="E45" i="1"/>
  <c r="AH44" i="1"/>
  <c r="AG44" i="1"/>
  <c r="AE44" i="1"/>
  <c r="E44" i="1"/>
  <c r="F44" i="1" s="1"/>
  <c r="AG43" i="1"/>
  <c r="AH43" i="1" s="1"/>
  <c r="AE43" i="1"/>
  <c r="F43" i="1"/>
  <c r="E43" i="1"/>
  <c r="AH42" i="1"/>
  <c r="AG42" i="1"/>
  <c r="AE42" i="1"/>
  <c r="E42" i="1"/>
  <c r="F42" i="1" s="1"/>
  <c r="AG41" i="1"/>
  <c r="AH41" i="1" s="1"/>
  <c r="AE41" i="1"/>
  <c r="F41" i="1"/>
  <c r="E41" i="1"/>
  <c r="AH40" i="1"/>
  <c r="AG40" i="1"/>
  <c r="AE40" i="1"/>
  <c r="E40" i="1"/>
  <c r="F40" i="1" s="1"/>
  <c r="AG39" i="1"/>
  <c r="AH39" i="1" s="1"/>
  <c r="AE39" i="1"/>
  <c r="F39" i="1"/>
  <c r="E39" i="1"/>
  <c r="AH38" i="1"/>
  <c r="AG38" i="1"/>
  <c r="AE38" i="1"/>
  <c r="E38" i="1"/>
  <c r="F38" i="1" s="1"/>
  <c r="AG37" i="1"/>
  <c r="AH37" i="1" s="1"/>
  <c r="AE37" i="1"/>
  <c r="F37" i="1"/>
  <c r="E37" i="1"/>
  <c r="AH36" i="1"/>
  <c r="AG36" i="1"/>
  <c r="AE36" i="1"/>
  <c r="E36" i="1"/>
  <c r="F36" i="1" s="1"/>
  <c r="AG35" i="1"/>
  <c r="AH35" i="1" s="1"/>
  <c r="AE35" i="1"/>
  <c r="F35" i="1"/>
  <c r="E35" i="1"/>
  <c r="AH34" i="1"/>
  <c r="AG34" i="1"/>
  <c r="AE34" i="1"/>
  <c r="E34" i="1"/>
  <c r="F34" i="1" s="1"/>
  <c r="AG33" i="1"/>
  <c r="AH33" i="1" s="1"/>
  <c r="AE33" i="1"/>
  <c r="F33" i="1"/>
  <c r="E33" i="1"/>
  <c r="AH32" i="1"/>
  <c r="AG32" i="1"/>
  <c r="AE32" i="1"/>
  <c r="F32" i="1"/>
  <c r="E32" i="1"/>
  <c r="AH31" i="1"/>
  <c r="AG31" i="1"/>
  <c r="AE31" i="1"/>
  <c r="E31" i="1"/>
  <c r="F31" i="1" s="1"/>
  <c r="AG30" i="1"/>
  <c r="AH30" i="1" s="1"/>
  <c r="AE30" i="1"/>
  <c r="F30" i="1"/>
  <c r="E30" i="1"/>
  <c r="AG29" i="1"/>
  <c r="AH29" i="1" s="1"/>
  <c r="AE29" i="1"/>
  <c r="E29" i="1"/>
  <c r="F29" i="1" s="1"/>
  <c r="AH28" i="1"/>
  <c r="AG28" i="1"/>
  <c r="AE28" i="1"/>
  <c r="F28" i="1"/>
  <c r="E28" i="1"/>
  <c r="AH27" i="1"/>
  <c r="AG27" i="1"/>
  <c r="AE27" i="1"/>
  <c r="E27" i="1"/>
  <c r="F27" i="1" s="1"/>
  <c r="AG26" i="1"/>
  <c r="AH26" i="1" s="1"/>
  <c r="AE26" i="1"/>
  <c r="F26" i="1"/>
  <c r="E26" i="1"/>
  <c r="AH25" i="1"/>
  <c r="AG25" i="1"/>
  <c r="AE25" i="1"/>
  <c r="E25" i="1"/>
  <c r="I31" i="1" s="1"/>
  <c r="AG24" i="1"/>
  <c r="AH24" i="1" s="1"/>
  <c r="AE24" i="1"/>
  <c r="F24" i="1"/>
  <c r="E24" i="1"/>
  <c r="AH23" i="1"/>
  <c r="AG23" i="1"/>
  <c r="AE23" i="1"/>
  <c r="W23" i="1"/>
  <c r="U23" i="1"/>
  <c r="V23" i="1" s="1"/>
  <c r="S23" i="1"/>
  <c r="F23" i="1"/>
  <c r="E23" i="1"/>
  <c r="AH22" i="1"/>
  <c r="AG22" i="1"/>
  <c r="AE22" i="1"/>
  <c r="W22" i="1"/>
  <c r="U22" i="1"/>
  <c r="V22" i="1" s="1"/>
  <c r="S22" i="1"/>
  <c r="F22" i="1"/>
  <c r="E22" i="1"/>
  <c r="AH21" i="1"/>
  <c r="AG21" i="1"/>
  <c r="AE21" i="1"/>
  <c r="W21" i="1"/>
  <c r="U21" i="1"/>
  <c r="V21" i="1" s="1"/>
  <c r="S21" i="1"/>
  <c r="F21" i="1"/>
  <c r="E21" i="1"/>
  <c r="AH20" i="1"/>
  <c r="AG20" i="1"/>
  <c r="AE20" i="1"/>
  <c r="W20" i="1"/>
  <c r="U20" i="1"/>
  <c r="V20" i="1" s="1"/>
  <c r="S20" i="1"/>
  <c r="F20" i="1"/>
  <c r="E20" i="1"/>
  <c r="AH19" i="1"/>
  <c r="AG19" i="1"/>
  <c r="AE19" i="1"/>
  <c r="W19" i="1"/>
  <c r="U19" i="1"/>
  <c r="V19" i="1" s="1"/>
  <c r="S19" i="1"/>
  <c r="F19" i="1"/>
  <c r="E19" i="1"/>
  <c r="AH18" i="1"/>
  <c r="AG18" i="1"/>
  <c r="AE18" i="1"/>
  <c r="W18" i="1"/>
  <c r="U18" i="1"/>
  <c r="V18" i="1" s="1"/>
  <c r="S18" i="1"/>
  <c r="F18" i="1"/>
  <c r="E18" i="1"/>
  <c r="AH17" i="1"/>
  <c r="AG17" i="1"/>
  <c r="AE17" i="1"/>
  <c r="W17" i="1"/>
  <c r="U17" i="1"/>
  <c r="V17" i="1" s="1"/>
  <c r="S17" i="1"/>
  <c r="F17" i="1"/>
  <c r="E17" i="1"/>
  <c r="AG16" i="1"/>
  <c r="AH16" i="1" s="1"/>
  <c r="AE16" i="1"/>
  <c r="W16" i="1"/>
  <c r="U16" i="1"/>
  <c r="V16" i="1" s="1"/>
  <c r="S16" i="1"/>
  <c r="F16" i="1"/>
  <c r="E16" i="1"/>
  <c r="I32" i="1" s="1"/>
  <c r="AG15" i="1"/>
  <c r="AH15" i="1" s="1"/>
  <c r="AE15" i="1"/>
  <c r="W15" i="1"/>
  <c r="U15" i="1"/>
  <c r="V15" i="1" s="1"/>
  <c r="S15" i="1"/>
  <c r="AH14" i="1"/>
  <c r="AG14" i="1"/>
  <c r="AE14" i="1"/>
  <c r="W14" i="1"/>
  <c r="U14" i="1"/>
  <c r="V14" i="1" s="1"/>
  <c r="S14" i="1"/>
  <c r="AG13" i="1"/>
  <c r="AH13" i="1" s="1"/>
  <c r="AE13" i="1"/>
  <c r="W13" i="1"/>
  <c r="U13" i="1"/>
  <c r="V13" i="1" s="1"/>
  <c r="S13" i="1"/>
  <c r="AH12" i="1"/>
  <c r="AG12" i="1"/>
  <c r="AE12" i="1"/>
  <c r="W12" i="1"/>
  <c r="U12" i="1"/>
  <c r="V12" i="1" s="1"/>
  <c r="S12" i="1"/>
  <c r="AG11" i="1"/>
  <c r="AH11" i="1" s="1"/>
  <c r="AE11" i="1"/>
  <c r="U11" i="1"/>
  <c r="V11" i="1" s="1"/>
  <c r="S11" i="1"/>
  <c r="E11" i="1"/>
  <c r="F11" i="1" s="1"/>
  <c r="AG10" i="1"/>
  <c r="AH10" i="1" s="1"/>
  <c r="AE10" i="1"/>
  <c r="U10" i="1"/>
  <c r="V10" i="1" s="1"/>
  <c r="S10" i="1"/>
  <c r="E10" i="1"/>
  <c r="F10" i="1" s="1"/>
  <c r="AH9" i="1"/>
  <c r="AG9" i="1"/>
  <c r="AE9" i="1"/>
  <c r="W9" i="1"/>
  <c r="U9" i="1"/>
  <c r="V9" i="1" s="1"/>
  <c r="S9" i="1"/>
  <c r="E9" i="1"/>
  <c r="F9" i="1" s="1"/>
  <c r="AG8" i="1"/>
  <c r="AH8" i="1" s="1"/>
  <c r="AE8" i="1"/>
  <c r="W8" i="1"/>
  <c r="U8" i="1"/>
  <c r="V8" i="1" s="1"/>
  <c r="S8" i="1"/>
  <c r="E8" i="1"/>
  <c r="F8" i="1" s="1"/>
  <c r="F12" i="1" s="1"/>
  <c r="L7" i="1" s="1"/>
  <c r="AG7" i="1"/>
  <c r="AH7" i="1" s="1"/>
  <c r="AE7" i="1"/>
  <c r="W7" i="1"/>
  <c r="V7" i="1"/>
  <c r="S7" i="1"/>
  <c r="F7" i="1"/>
  <c r="E7" i="1"/>
  <c r="G4" i="5" l="1"/>
  <c r="F6" i="5"/>
  <c r="F7" i="5"/>
  <c r="H4" i="5"/>
  <c r="X15" i="1"/>
  <c r="Y18" i="1"/>
  <c r="Z18" i="1" s="1"/>
  <c r="X8" i="1"/>
  <c r="Y8" i="1" s="1"/>
  <c r="Z8" i="1" s="1"/>
  <c r="X7" i="1"/>
  <c r="Y7" i="1" s="1"/>
  <c r="X10" i="1"/>
  <c r="X14" i="1"/>
  <c r="Y14" i="1" s="1"/>
  <c r="Z14" i="1" s="1"/>
  <c r="Y15" i="1"/>
  <c r="Z15" i="1" s="1"/>
  <c r="AK29" i="1"/>
  <c r="AK28" i="1"/>
  <c r="AL7" i="1" s="1"/>
  <c r="AQ8" i="1" s="1"/>
  <c r="X9" i="1"/>
  <c r="Y9" i="1" s="1"/>
  <c r="Z9" i="1" s="1"/>
  <c r="X11" i="1"/>
  <c r="X12" i="1"/>
  <c r="Y12" i="1" s="1"/>
  <c r="Z12" i="1" s="1"/>
  <c r="X16" i="1"/>
  <c r="Y16" i="1"/>
  <c r="Z16" i="1" s="1"/>
  <c r="X13" i="1"/>
  <c r="Y13" i="1" s="1"/>
  <c r="Z13" i="1" s="1"/>
  <c r="X17" i="1"/>
  <c r="Y17" i="1" s="1"/>
  <c r="Z17" i="1" s="1"/>
  <c r="X18" i="1"/>
  <c r="X19" i="1"/>
  <c r="Y19" i="1" s="1"/>
  <c r="Z19" i="1" s="1"/>
  <c r="X20" i="1"/>
  <c r="Y20" i="1" s="1"/>
  <c r="Z20" i="1" s="1"/>
  <c r="X21" i="1"/>
  <c r="Y21" i="1" s="1"/>
  <c r="Z21" i="1" s="1"/>
  <c r="X22" i="1"/>
  <c r="Y22" i="1" s="1"/>
  <c r="Z22" i="1" s="1"/>
  <c r="X23" i="1"/>
  <c r="Y23" i="1" s="1"/>
  <c r="Z23" i="1" s="1"/>
  <c r="F25" i="1"/>
  <c r="L32" i="1" s="1"/>
  <c r="L31" i="1"/>
  <c r="AL6" i="1" s="1"/>
  <c r="AL8" i="1" s="1"/>
  <c r="AL9" i="1" s="1"/>
  <c r="W10" i="1"/>
  <c r="Y10" i="1" s="1"/>
  <c r="Z10" i="1" s="1"/>
  <c r="W11" i="1"/>
  <c r="Y11" i="1" s="1"/>
  <c r="Z11" i="1" s="1"/>
  <c r="U8" i="4"/>
  <c r="F9" i="4"/>
  <c r="R8" i="4"/>
  <c r="C9" i="4"/>
  <c r="R9" i="4"/>
  <c r="I8" i="4"/>
  <c r="O9" i="4"/>
  <c r="U9" i="4"/>
  <c r="I9" i="4"/>
  <c r="F8" i="4"/>
  <c r="C10" i="4" s="1"/>
  <c r="L9" i="4"/>
  <c r="F8" i="5" l="1"/>
  <c r="X29" i="1"/>
  <c r="X28" i="1"/>
  <c r="X32" i="1" s="1"/>
  <c r="F9" i="5" l="1"/>
  <c r="C2" i="5"/>
  <c r="F10" i="5" l="1"/>
  <c r="G130" i="5"/>
  <c r="H130" i="5" s="1"/>
  <c r="F11" i="5" l="1"/>
  <c r="F12" i="5" l="1"/>
  <c r="I11" i="5" l="1"/>
  <c r="I6" i="5"/>
  <c r="I7" i="5"/>
  <c r="I8" i="5"/>
  <c r="G6" i="5"/>
  <c r="H6" i="5" s="1"/>
  <c r="G5" i="5"/>
  <c r="H5" i="5" s="1"/>
  <c r="G12" i="5"/>
  <c r="H12" i="5" s="1"/>
  <c r="I9" i="5"/>
  <c r="G8" i="5"/>
  <c r="H8" i="5" s="1"/>
  <c r="G9" i="5"/>
  <c r="H9" i="5" s="1"/>
  <c r="G7" i="5"/>
  <c r="H7" i="5" s="1"/>
  <c r="I10" i="5"/>
  <c r="G10" i="5"/>
  <c r="H10" i="5" s="1"/>
  <c r="G11" i="5"/>
  <c r="H11" i="5" s="1"/>
  <c r="I5" i="5"/>
  <c r="I12" i="5"/>
  <c r="I4" i="5"/>
  <c r="F13" i="5"/>
  <c r="G13" i="5" s="1"/>
  <c r="H13" i="5" s="1"/>
  <c r="I13" i="5" l="1"/>
  <c r="F14" i="5"/>
  <c r="F15" i="5" l="1"/>
  <c r="G15" i="5" s="1"/>
  <c r="H15" i="5" s="1"/>
  <c r="G14" i="5"/>
  <c r="H14" i="5" s="1"/>
  <c r="I15" i="5" l="1"/>
  <c r="F16" i="5"/>
  <c r="G16" i="5" s="1"/>
  <c r="H16" i="5" s="1"/>
  <c r="I16" i="5" l="1"/>
  <c r="F17" i="5"/>
  <c r="G17" i="5" s="1"/>
  <c r="H17" i="5" s="1"/>
  <c r="F18" i="5" l="1"/>
  <c r="G18" i="5" s="1"/>
  <c r="H18" i="5" s="1"/>
  <c r="I17" i="5"/>
  <c r="I18" i="5" l="1"/>
  <c r="F19" i="5"/>
  <c r="G19" i="5" s="1"/>
  <c r="H19" i="5" s="1"/>
  <c r="I19" i="5" l="1"/>
  <c r="F20" i="5"/>
  <c r="G20" i="5" s="1"/>
  <c r="H20" i="5" s="1"/>
  <c r="I20" i="5" l="1"/>
  <c r="F21" i="5"/>
  <c r="G21" i="5" s="1"/>
  <c r="H21" i="5" s="1"/>
  <c r="I21" i="5"/>
  <c r="F22" i="5"/>
  <c r="G22" i="5" s="1"/>
  <c r="H22" i="5" s="1"/>
  <c r="I22" i="5" l="1"/>
  <c r="F23" i="5"/>
  <c r="G23" i="5" s="1"/>
  <c r="H23" i="5" s="1"/>
  <c r="I23" i="5" l="1"/>
  <c r="F24" i="5"/>
  <c r="G24" i="5" s="1"/>
  <c r="H24" i="5" s="1"/>
  <c r="I24" i="5" l="1"/>
  <c r="F25" i="5"/>
  <c r="G25" i="5" s="1"/>
  <c r="H25" i="5" s="1"/>
  <c r="I25" i="5" l="1"/>
  <c r="F26" i="5"/>
  <c r="G26" i="5" s="1"/>
  <c r="H26" i="5" s="1"/>
  <c r="I26" i="5" l="1"/>
  <c r="F27" i="5"/>
  <c r="G27" i="5" s="1"/>
  <c r="H27" i="5" s="1"/>
  <c r="I27" i="5" l="1"/>
  <c r="F28" i="5"/>
  <c r="G28" i="5" s="1"/>
  <c r="H28" i="5" s="1"/>
  <c r="I28" i="5" l="1"/>
  <c r="F29" i="5"/>
  <c r="G29" i="5" s="1"/>
  <c r="H29" i="5" s="1"/>
  <c r="I29" i="5" l="1"/>
  <c r="F30" i="5"/>
  <c r="G30" i="5" s="1"/>
  <c r="H30" i="5" s="1"/>
  <c r="I30" i="5" l="1"/>
  <c r="F31" i="5"/>
  <c r="G31" i="5" s="1"/>
  <c r="H31" i="5" s="1"/>
  <c r="I31" i="5" l="1"/>
  <c r="F32" i="5"/>
  <c r="G32" i="5" s="1"/>
  <c r="H32" i="5" s="1"/>
  <c r="I32" i="5" l="1"/>
  <c r="F33" i="5"/>
  <c r="G33" i="5" s="1"/>
  <c r="H33" i="5" s="1"/>
  <c r="I33" i="5" l="1"/>
  <c r="F34" i="5"/>
  <c r="G34" i="5" s="1"/>
  <c r="H34" i="5" s="1"/>
  <c r="I34" i="5" l="1"/>
  <c r="F35" i="5"/>
  <c r="G35" i="5" s="1"/>
  <c r="H35" i="5" s="1"/>
  <c r="I35" i="5" l="1"/>
  <c r="F36" i="5"/>
  <c r="G36" i="5" s="1"/>
  <c r="H36" i="5" s="1"/>
  <c r="I36" i="5" l="1"/>
  <c r="F37" i="5"/>
  <c r="G37" i="5" s="1"/>
  <c r="H37" i="5" s="1"/>
  <c r="I37" i="5" l="1"/>
  <c r="F38" i="5"/>
  <c r="G38" i="5" s="1"/>
  <c r="H38" i="5" s="1"/>
  <c r="I38" i="5" l="1"/>
  <c r="F39" i="5"/>
  <c r="G39" i="5" s="1"/>
  <c r="H39" i="5" s="1"/>
  <c r="I39" i="5" l="1"/>
  <c r="F40" i="5"/>
  <c r="G40" i="5" s="1"/>
  <c r="H40" i="5" s="1"/>
  <c r="I40" i="5" l="1"/>
  <c r="F41" i="5"/>
  <c r="G41" i="5" s="1"/>
  <c r="H41" i="5" s="1"/>
  <c r="I41" i="5" l="1"/>
  <c r="F42" i="5"/>
  <c r="G42" i="5" s="1"/>
  <c r="H42" i="5" s="1"/>
  <c r="I42" i="5" l="1"/>
  <c r="F43" i="5"/>
  <c r="G43" i="5" s="1"/>
  <c r="H43" i="5" s="1"/>
  <c r="I43" i="5" l="1"/>
  <c r="F44" i="5"/>
  <c r="G44" i="5" s="1"/>
  <c r="H44" i="5" s="1"/>
  <c r="I44" i="5" l="1"/>
  <c r="F45" i="5"/>
  <c r="G45" i="5" s="1"/>
  <c r="H45" i="5" s="1"/>
  <c r="I45" i="5" l="1"/>
  <c r="F46" i="5"/>
  <c r="G46" i="5" s="1"/>
  <c r="H46" i="5" s="1"/>
  <c r="I46" i="5" l="1"/>
  <c r="F47" i="5"/>
  <c r="G47" i="5" s="1"/>
  <c r="H47" i="5" s="1"/>
  <c r="I47" i="5" l="1"/>
  <c r="F48" i="5"/>
  <c r="G48" i="5" s="1"/>
  <c r="H48" i="5" s="1"/>
  <c r="I48" i="5" l="1"/>
  <c r="F49" i="5"/>
  <c r="G49" i="5" s="1"/>
  <c r="H49" i="5" s="1"/>
  <c r="I49" i="5" l="1"/>
  <c r="F50" i="5"/>
  <c r="G50" i="5" s="1"/>
  <c r="H50" i="5" s="1"/>
  <c r="I50" i="5" l="1"/>
  <c r="F51" i="5"/>
  <c r="G51" i="5" s="1"/>
  <c r="H51" i="5" s="1"/>
  <c r="I51" i="5" l="1"/>
  <c r="F52" i="5"/>
  <c r="G52" i="5" s="1"/>
  <c r="H52" i="5" s="1"/>
  <c r="I52" i="5" l="1"/>
  <c r="F53" i="5"/>
  <c r="G53" i="5" s="1"/>
  <c r="H53" i="5" s="1"/>
  <c r="I53" i="5" l="1"/>
  <c r="F54" i="5"/>
  <c r="G54" i="5" s="1"/>
  <c r="H54" i="5" s="1"/>
  <c r="I54" i="5" l="1"/>
  <c r="F55" i="5"/>
  <c r="G55" i="5" s="1"/>
  <c r="H55" i="5" s="1"/>
  <c r="I55" i="5" l="1"/>
  <c r="F56" i="5"/>
  <c r="G56" i="5" s="1"/>
  <c r="H56" i="5" s="1"/>
  <c r="I56" i="5" l="1"/>
  <c r="F57" i="5"/>
  <c r="G57" i="5" s="1"/>
  <c r="H57" i="5" s="1"/>
  <c r="I57" i="5" l="1"/>
  <c r="F58" i="5"/>
  <c r="G58" i="5" s="1"/>
  <c r="H58" i="5" s="1"/>
  <c r="I58" i="5" l="1"/>
  <c r="F59" i="5"/>
  <c r="G59" i="5" s="1"/>
  <c r="H59" i="5" s="1"/>
  <c r="I59" i="5" l="1"/>
  <c r="F60" i="5"/>
  <c r="G60" i="5" s="1"/>
  <c r="H60" i="5" s="1"/>
  <c r="I60" i="5" l="1"/>
  <c r="F61" i="5"/>
  <c r="G61" i="5" s="1"/>
  <c r="H61" i="5" s="1"/>
  <c r="I61" i="5" l="1"/>
  <c r="F62" i="5"/>
  <c r="G62" i="5" s="1"/>
  <c r="H62" i="5" s="1"/>
  <c r="I62" i="5" l="1"/>
  <c r="F63" i="5"/>
  <c r="G63" i="5" s="1"/>
  <c r="H63" i="5" s="1"/>
  <c r="I63" i="5" l="1"/>
  <c r="F64" i="5"/>
  <c r="G64" i="5" s="1"/>
  <c r="H64" i="5" s="1"/>
  <c r="I64" i="5" l="1"/>
  <c r="F65" i="5"/>
  <c r="G65" i="5" s="1"/>
  <c r="H65" i="5" s="1"/>
  <c r="I65" i="5" l="1"/>
  <c r="F66" i="5"/>
  <c r="G66" i="5" s="1"/>
  <c r="H66" i="5" s="1"/>
  <c r="I66" i="5" l="1"/>
  <c r="F67" i="5"/>
  <c r="G67" i="5" s="1"/>
  <c r="H67" i="5" s="1"/>
  <c r="I67" i="5" l="1"/>
  <c r="F68" i="5"/>
  <c r="G68" i="5" s="1"/>
  <c r="H68" i="5" s="1"/>
  <c r="I68" i="5" l="1"/>
  <c r="F69" i="5"/>
  <c r="G69" i="5" s="1"/>
  <c r="H69" i="5" s="1"/>
  <c r="I69" i="5" l="1"/>
  <c r="F70" i="5"/>
  <c r="G70" i="5" s="1"/>
  <c r="H70" i="5" s="1"/>
  <c r="I70" i="5" l="1"/>
  <c r="F71" i="5"/>
  <c r="G71" i="5" s="1"/>
  <c r="H71" i="5" s="1"/>
  <c r="I71" i="5" l="1"/>
  <c r="F72" i="5"/>
  <c r="G72" i="5" s="1"/>
  <c r="H72" i="5" s="1"/>
  <c r="I72" i="5" l="1"/>
  <c r="F73" i="5"/>
  <c r="G73" i="5" s="1"/>
  <c r="H73" i="5" s="1"/>
  <c r="I73" i="5" l="1"/>
  <c r="F74" i="5"/>
  <c r="G74" i="5" s="1"/>
  <c r="H74" i="5" s="1"/>
  <c r="I74" i="5" l="1"/>
  <c r="F75" i="5"/>
  <c r="G75" i="5" s="1"/>
  <c r="H75" i="5" s="1"/>
  <c r="I75" i="5" l="1"/>
  <c r="F76" i="5"/>
  <c r="G76" i="5" s="1"/>
  <c r="H76" i="5" s="1"/>
  <c r="I76" i="5" l="1"/>
  <c r="F77" i="5"/>
  <c r="G77" i="5" s="1"/>
  <c r="H77" i="5" s="1"/>
  <c r="I77" i="5" l="1"/>
  <c r="F78" i="5"/>
  <c r="G78" i="5" s="1"/>
  <c r="H78" i="5" s="1"/>
  <c r="I78" i="5" l="1"/>
  <c r="F79" i="5"/>
  <c r="G79" i="5" s="1"/>
  <c r="H79" i="5" s="1"/>
  <c r="I79" i="5" l="1"/>
  <c r="F80" i="5"/>
  <c r="G80" i="5" s="1"/>
  <c r="H80" i="5" s="1"/>
  <c r="I80" i="5" l="1"/>
  <c r="F81" i="5"/>
  <c r="G81" i="5" s="1"/>
  <c r="H81" i="5" s="1"/>
  <c r="I81" i="5" l="1"/>
  <c r="F82" i="5"/>
  <c r="G82" i="5" s="1"/>
  <c r="H82" i="5" s="1"/>
  <c r="I82" i="5" l="1"/>
  <c r="F83" i="5"/>
  <c r="G83" i="5" s="1"/>
  <c r="H83" i="5" s="1"/>
  <c r="I83" i="5" l="1"/>
  <c r="F84" i="5"/>
  <c r="G84" i="5" s="1"/>
  <c r="H84" i="5" s="1"/>
  <c r="I84" i="5" l="1"/>
  <c r="F85" i="5"/>
  <c r="G85" i="5" s="1"/>
  <c r="H85" i="5" s="1"/>
  <c r="I85" i="5" l="1"/>
  <c r="F86" i="5"/>
  <c r="G86" i="5" s="1"/>
  <c r="H86" i="5" s="1"/>
  <c r="I86" i="5" l="1"/>
  <c r="F87" i="5"/>
  <c r="G87" i="5" s="1"/>
  <c r="H87" i="5" s="1"/>
  <c r="I87" i="5" l="1"/>
  <c r="F88" i="5"/>
  <c r="G88" i="5" s="1"/>
  <c r="H88" i="5" s="1"/>
  <c r="I88" i="5" l="1"/>
  <c r="F89" i="5"/>
  <c r="G89" i="5" s="1"/>
  <c r="H89" i="5" s="1"/>
  <c r="I89" i="5" l="1"/>
  <c r="F90" i="5"/>
  <c r="G90" i="5" s="1"/>
  <c r="H90" i="5" s="1"/>
  <c r="I90" i="5" l="1"/>
  <c r="F91" i="5"/>
  <c r="G91" i="5" s="1"/>
  <c r="H91" i="5" s="1"/>
  <c r="I91" i="5" l="1"/>
  <c r="F92" i="5"/>
  <c r="G92" i="5" s="1"/>
  <c r="H92" i="5" s="1"/>
  <c r="I92" i="5" l="1"/>
  <c r="F93" i="5"/>
  <c r="G93" i="5" s="1"/>
  <c r="H93" i="5" s="1"/>
  <c r="I93" i="5" l="1"/>
  <c r="F94" i="5"/>
  <c r="G94" i="5" s="1"/>
  <c r="H94" i="5" s="1"/>
  <c r="I94" i="5" l="1"/>
  <c r="F95" i="5"/>
  <c r="G95" i="5" s="1"/>
  <c r="H95" i="5" s="1"/>
  <c r="I95" i="5" l="1"/>
  <c r="F96" i="5"/>
  <c r="G96" i="5" s="1"/>
  <c r="H96" i="5" s="1"/>
  <c r="I96" i="5" l="1"/>
  <c r="F97" i="5"/>
  <c r="G97" i="5" s="1"/>
  <c r="H97" i="5" s="1"/>
  <c r="I97" i="5" l="1"/>
  <c r="F98" i="5"/>
  <c r="G98" i="5" s="1"/>
  <c r="H98" i="5" s="1"/>
  <c r="I98" i="5" l="1"/>
  <c r="F99" i="5"/>
  <c r="G99" i="5" s="1"/>
  <c r="H99" i="5" s="1"/>
  <c r="I99" i="5" l="1"/>
  <c r="F100" i="5"/>
  <c r="G100" i="5" s="1"/>
  <c r="H100" i="5" s="1"/>
  <c r="I100" i="5" l="1"/>
  <c r="F101" i="5"/>
  <c r="G101" i="5" s="1"/>
  <c r="H101" i="5" s="1"/>
  <c r="I101" i="5" l="1"/>
  <c r="F102" i="5"/>
  <c r="G102" i="5" s="1"/>
  <c r="H102" i="5" s="1"/>
  <c r="I102" i="5" l="1"/>
  <c r="F103" i="5"/>
  <c r="G103" i="5" s="1"/>
  <c r="H103" i="5" s="1"/>
  <c r="I103" i="5" l="1"/>
  <c r="F104" i="5"/>
  <c r="G104" i="5" s="1"/>
  <c r="H104" i="5" s="1"/>
  <c r="I104" i="5" l="1"/>
  <c r="F105" i="5"/>
  <c r="G105" i="5" s="1"/>
  <c r="H105" i="5" s="1"/>
  <c r="I105" i="5" l="1"/>
  <c r="F106" i="5"/>
  <c r="G106" i="5" s="1"/>
  <c r="H106" i="5" s="1"/>
  <c r="I106" i="5" l="1"/>
  <c r="F107" i="5"/>
  <c r="G107" i="5" s="1"/>
  <c r="H107" i="5" s="1"/>
  <c r="I107" i="5" l="1"/>
  <c r="F108" i="5"/>
  <c r="G108" i="5" s="1"/>
  <c r="H108" i="5" s="1"/>
  <c r="I108" i="5" l="1"/>
  <c r="F109" i="5"/>
  <c r="G109" i="5" s="1"/>
  <c r="H109" i="5" s="1"/>
  <c r="I109" i="5" l="1"/>
  <c r="F110" i="5"/>
  <c r="G110" i="5" s="1"/>
  <c r="H110" i="5" s="1"/>
  <c r="I110" i="5" l="1"/>
  <c r="F111" i="5"/>
  <c r="G111" i="5" s="1"/>
  <c r="H111" i="5" s="1"/>
  <c r="I111" i="5" l="1"/>
  <c r="F112" i="5"/>
  <c r="G112" i="5" s="1"/>
  <c r="H112" i="5" s="1"/>
  <c r="I112" i="5" l="1"/>
  <c r="F113" i="5"/>
  <c r="G113" i="5" s="1"/>
  <c r="H113" i="5" s="1"/>
  <c r="I113" i="5" l="1"/>
  <c r="F114" i="5"/>
  <c r="L4" i="5" l="1"/>
  <c r="G114" i="5"/>
  <c r="H114" i="5" s="1"/>
  <c r="I114" i="5"/>
  <c r="F115" i="5"/>
  <c r="G115" i="5" s="1"/>
  <c r="H115" i="5" s="1"/>
  <c r="I115" i="5" l="1"/>
  <c r="F116" i="5"/>
  <c r="G116" i="5" s="1"/>
  <c r="H116" i="5" s="1"/>
  <c r="I116" i="5" l="1"/>
  <c r="F117" i="5"/>
  <c r="G117" i="5" s="1"/>
  <c r="H117" i="5" s="1"/>
  <c r="I117" i="5" l="1"/>
  <c r="F118" i="5"/>
  <c r="G118" i="5" s="1"/>
  <c r="H118" i="5" s="1"/>
  <c r="I118" i="5" l="1"/>
  <c r="F119" i="5"/>
  <c r="G119" i="5" s="1"/>
  <c r="H119" i="5" s="1"/>
  <c r="I119" i="5" l="1"/>
  <c r="F120" i="5"/>
  <c r="G120" i="5" s="1"/>
  <c r="H120" i="5" s="1"/>
  <c r="I120" i="5" l="1"/>
  <c r="F121" i="5"/>
  <c r="G121" i="5" s="1"/>
  <c r="H121" i="5" s="1"/>
  <c r="I121" i="5" l="1"/>
  <c r="F122" i="5"/>
  <c r="G122" i="5" s="1"/>
  <c r="H122" i="5" s="1"/>
  <c r="I122" i="5" l="1"/>
  <c r="F123" i="5"/>
  <c r="G123" i="5" s="1"/>
  <c r="H123" i="5" s="1"/>
  <c r="I123" i="5" l="1"/>
  <c r="F124" i="5"/>
  <c r="G124" i="5" s="1"/>
  <c r="H124" i="5" s="1"/>
  <c r="I124" i="5" l="1"/>
</calcChain>
</file>

<file path=xl/sharedStrings.xml><?xml version="1.0" encoding="utf-8"?>
<sst xmlns="http://schemas.openxmlformats.org/spreadsheetml/2006/main" count="204" uniqueCount="121">
  <si>
    <t>Ensaios no motor CC 775 HANPOSE</t>
  </si>
  <si>
    <t>Medição</t>
  </si>
  <si>
    <t>Calculo de Ra (resistência de armadura)</t>
  </si>
  <si>
    <t>Obs: As medições de corrente foram feitas com uma espira de 5 votas no alicate amperimetro</t>
  </si>
  <si>
    <t xml:space="preserve">Média = </t>
  </si>
  <si>
    <t>Calculo de Ke (constante elétrica)</t>
  </si>
  <si>
    <t>I (real) [A]</t>
  </si>
  <si>
    <t>I (5 espiras) [A]</t>
  </si>
  <si>
    <t>V [V]</t>
  </si>
  <si>
    <r>
      <t>Ra [</t>
    </r>
    <r>
      <rPr>
        <b/>
        <sz val="11"/>
        <color theme="1"/>
        <rFont val="Calibri"/>
        <family val="2"/>
      </rPr>
      <t>Ω</t>
    </r>
    <r>
      <rPr>
        <b/>
        <sz val="11"/>
        <color theme="1"/>
        <rFont val="Times New Roman"/>
        <family val="1"/>
      </rPr>
      <t>]</t>
    </r>
  </si>
  <si>
    <t>E [V]</t>
  </si>
  <si>
    <t>frequência [Hz]</t>
  </si>
  <si>
    <t>RPM</t>
  </si>
  <si>
    <t>a</t>
  </si>
  <si>
    <t>b</t>
  </si>
  <si>
    <t>Calculo de La (indutância de armadura)</t>
  </si>
  <si>
    <t>Resistêcncia de armadura:</t>
  </si>
  <si>
    <t>Constante de tempo obtida:</t>
  </si>
  <si>
    <t>La calculada:</t>
  </si>
  <si>
    <t>La =</t>
  </si>
  <si>
    <t>Ra =</t>
  </si>
  <si>
    <r>
      <rPr>
        <sz val="14"/>
        <color theme="1"/>
        <rFont val="Calibri"/>
        <family val="2"/>
      </rPr>
      <t>τ</t>
    </r>
    <r>
      <rPr>
        <sz val="14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=</t>
    </r>
  </si>
  <si>
    <t>Calculo das perdas rotacionais</t>
  </si>
  <si>
    <t>P_in [W]</t>
  </si>
  <si>
    <t>P_cu [W]</t>
  </si>
  <si>
    <t>P_rot [W]</t>
  </si>
  <si>
    <t>Calculo de Kt (constante mecanica)</t>
  </si>
  <si>
    <t>Peso [g]</t>
  </si>
  <si>
    <t>Força [N]</t>
  </si>
  <si>
    <t>Torque [Nm]</t>
  </si>
  <si>
    <t>rad/s</t>
  </si>
  <si>
    <t>Diferença</t>
  </si>
  <si>
    <t>Diferença [%]</t>
  </si>
  <si>
    <t>Ke [Vs/rad]</t>
  </si>
  <si>
    <t>Kt [Nm/A]</t>
  </si>
  <si>
    <t>Comparação entre Ke e Kt</t>
  </si>
  <si>
    <t xml:space="preserve">Máx. Corrente admitida = </t>
  </si>
  <si>
    <t xml:space="preserve">Torque máx. fabricante = </t>
  </si>
  <si>
    <t xml:space="preserve">Torque máx. calculado = </t>
  </si>
  <si>
    <t xml:space="preserve">Diferença = </t>
  </si>
  <si>
    <t>K</t>
  </si>
  <si>
    <r>
      <rPr>
        <b/>
        <sz val="11"/>
        <color theme="1"/>
        <rFont val="Calibri"/>
        <family val="2"/>
      </rPr>
      <t>ω</t>
    </r>
    <r>
      <rPr>
        <b/>
        <sz val="9.35"/>
        <color theme="1"/>
        <rFont val="Times New Roman"/>
        <family val="1"/>
      </rPr>
      <t xml:space="preserve"> [</t>
    </r>
    <r>
      <rPr>
        <b/>
        <sz val="11"/>
        <color theme="1"/>
        <rFont val="Times New Roman"/>
        <family val="1"/>
      </rPr>
      <t>rad/s]</t>
    </r>
  </si>
  <si>
    <t>CI LM297N-8 (Linearidade real)</t>
  </si>
  <si>
    <t>Vout [V]</t>
  </si>
  <si>
    <t>f [Hz]</t>
  </si>
  <si>
    <t>indices</t>
  </si>
  <si>
    <t>Bm</t>
  </si>
  <si>
    <t>Tc</t>
  </si>
  <si>
    <t>T_perdas [Nm]</t>
  </si>
  <si>
    <t>τ_mec [ms]</t>
  </si>
  <si>
    <t>Jm [N·m·s/rad]</t>
  </si>
  <si>
    <t>(partida)</t>
  </si>
  <si>
    <t>I drop [mA]</t>
  </si>
  <si>
    <t>Tensão de alimentação [V]</t>
  </si>
  <si>
    <t>Tensão com zener interno [V]</t>
  </si>
  <si>
    <t>Rdrop [ohm] =</t>
  </si>
  <si>
    <t>Rdrop</t>
  </si>
  <si>
    <t>Consumo do CI</t>
  </si>
  <si>
    <t>Zener</t>
  </si>
  <si>
    <t>3,8 a 6</t>
  </si>
  <si>
    <t>3.5 a 5.6</t>
  </si>
  <si>
    <t>Corrente [mA]</t>
  </si>
  <si>
    <t>Potência do resistor [mW]</t>
  </si>
  <si>
    <t>Parâmetros desejados na saída</t>
  </si>
  <si>
    <t>Tensão máxima na saída</t>
  </si>
  <si>
    <t>Frequência máxima [kHz] =</t>
  </si>
  <si>
    <t xml:space="preserve">K = </t>
  </si>
  <si>
    <t xml:space="preserve">C1xR1 [s] = </t>
  </si>
  <si>
    <t xml:space="preserve">Vout [V] = </t>
  </si>
  <si>
    <t>R1 disponivel [ohm]=</t>
  </si>
  <si>
    <t>R1  [ohm] ~=</t>
  </si>
  <si>
    <t>C1 [F] =</t>
  </si>
  <si>
    <t>C2 [F] =</t>
  </si>
  <si>
    <t xml:space="preserve">Sensicilidade [V/kHz] = </t>
  </si>
  <si>
    <t>I2 = 140uA (pior caso)</t>
  </si>
  <si>
    <t>I2 = 180uA (tipico)</t>
  </si>
  <si>
    <t>Freqência máxima [Hz]:</t>
  </si>
  <si>
    <t>Verificação da limitação por corrente de saída:</t>
  </si>
  <si>
    <t xml:space="preserve">Vripple = </t>
  </si>
  <si>
    <t>I3 = 180uA (tipico)</t>
  </si>
  <si>
    <t>I3 = 140uA (pior caso)</t>
  </si>
  <si>
    <r>
      <t>RT [k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]</t>
    </r>
  </si>
  <si>
    <r>
      <t>Tempo [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s</t>
    </r>
    <r>
      <rPr>
        <sz val="11"/>
        <color theme="1"/>
        <rFont val="Calibri"/>
        <family val="2"/>
        <scheme val="minor"/>
      </rPr>
      <t>]</t>
    </r>
  </si>
  <si>
    <t>CT [µF] =</t>
  </si>
  <si>
    <t>CT [nF] =</t>
  </si>
  <si>
    <t>t/CT</t>
  </si>
  <si>
    <t>inclinação</t>
  </si>
  <si>
    <t>media</t>
  </si>
  <si>
    <t>intercessão</t>
  </si>
  <si>
    <t>CT</t>
  </si>
  <si>
    <t>1 nF</t>
  </si>
  <si>
    <t>2 nF</t>
  </si>
  <si>
    <t>5 nF</t>
  </si>
  <si>
    <t>0,01 µF</t>
  </si>
  <si>
    <t>0,02µF</t>
  </si>
  <si>
    <t>0,05 µF</t>
  </si>
  <si>
    <t>0,1 µF</t>
  </si>
  <si>
    <t>m</t>
  </si>
  <si>
    <t>média</t>
  </si>
  <si>
    <t>Tempo</t>
  </si>
  <si>
    <t>w</t>
  </si>
  <si>
    <t>inicial</t>
  </si>
  <si>
    <t>TEMPO TOTAL</t>
  </si>
  <si>
    <t>Degrau</t>
  </si>
  <si>
    <t>12V</t>
  </si>
  <si>
    <t>500mV</t>
  </si>
  <si>
    <t>Simulação</t>
  </si>
  <si>
    <t>Real</t>
  </si>
  <si>
    <t>velocidade final atingida</t>
  </si>
  <si>
    <t>tempo de subida</t>
  </si>
  <si>
    <t>;
;
;
corrente de partida;
efeito da saturação de corrente.</t>
  </si>
  <si>
    <t>tempo de acomodação</t>
  </si>
  <si>
    <t>constante de tempo</t>
  </si>
  <si>
    <t>A</t>
  </si>
  <si>
    <t>A invertido</t>
  </si>
  <si>
    <t>A atrasado
invertido</t>
  </si>
  <si>
    <t>A atrasado</t>
  </si>
  <si>
    <t>A
ou
A atrasado
invertido</t>
  </si>
  <si>
    <t>A invertido
ou
A atrasado</t>
  </si>
  <si>
    <t>Conresponde a borda de descida</t>
  </si>
  <si>
    <t>Conresponde a borda de subida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</si>
</sst>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0\ &quot;μs&quot;"/>
    <numFmt numFmtId="165" formatCode="00.00\ &quot;μH&quot;"/>
    <numFmt numFmtId="166" formatCode="00\ &quot;A&quot;"/>
    <numFmt numFmtId="167" formatCode="0.000\ &quot;Nm&quot;"/>
    <numFmt numFmtId="168" formatCode="0.000000E+00"/>
    <numFmt numFmtId="169" formatCode="0\ &quot;V&quot;"/>
    <numFmt numFmtId="170" formatCode="0.00\ &quot;V&quot;"/>
    <numFmt numFmtId="171" formatCode="0.0"/>
    <numFmt numFmtId="172" formatCode="0.000"/>
    <numFmt numFmtId="173" formatCode="0.0000"/>
    <numFmt numFmtId="174" formatCode="0.000000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4"/>
      <color theme="1"/>
      <name val="Times New Roman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9.35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/>
    <xf numFmtId="169" fontId="0" fillId="5" borderId="0" xfId="0" applyNumberFormat="1" applyFill="1" applyAlignment="1">
      <alignment horizontal="center" vertical="center"/>
    </xf>
    <xf numFmtId="170" fontId="0" fillId="6" borderId="0" xfId="0" applyNumberFormat="1" applyFill="1" applyAlignment="1">
      <alignment horizontal="center" vertical="center"/>
    </xf>
    <xf numFmtId="169" fontId="0" fillId="6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1" fontId="0" fillId="5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74" fontId="1" fillId="0" borderId="0" xfId="0" applyNumberFormat="1" applyFont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0" fillId="4" borderId="30" xfId="0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50DAC"/>
      <color rgb="FFFE88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Funcionando</a:t>
            </a:r>
            <a:r>
              <a:rPr lang="pt-BR" baseline="0"/>
              <a:t> como gerador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6526480701540214E-2"/>
                  <c:y val="0.189398148148148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Ensaios!$E$16:$E$66</c:f>
              <c:numCache>
                <c:formatCode>0.00</c:formatCode>
                <c:ptCount val="51"/>
                <c:pt idx="0" formatCode="General">
                  <c:v>0</c:v>
                </c:pt>
                <c:pt idx="1">
                  <c:v>13.043999999999999</c:v>
                </c:pt>
                <c:pt idx="2">
                  <c:v>13.685999999999998</c:v>
                </c:pt>
                <c:pt idx="3">
                  <c:v>18.54</c:v>
                </c:pt>
                <c:pt idx="4">
                  <c:v>21.521999999999998</c:v>
                </c:pt>
                <c:pt idx="5">
                  <c:v>25.686</c:v>
                </c:pt>
                <c:pt idx="6">
                  <c:v>27.702000000000002</c:v>
                </c:pt>
                <c:pt idx="7">
                  <c:v>37.217999999999996</c:v>
                </c:pt>
                <c:pt idx="8">
                  <c:v>57.581999999999994</c:v>
                </c:pt>
                <c:pt idx="9">
                  <c:v>65.040000000000006</c:v>
                </c:pt>
                <c:pt idx="10">
                  <c:v>83.759999999999991</c:v>
                </c:pt>
                <c:pt idx="11">
                  <c:v>93.6</c:v>
                </c:pt>
                <c:pt idx="12">
                  <c:v>125.94</c:v>
                </c:pt>
                <c:pt idx="13">
                  <c:v>138.6</c:v>
                </c:pt>
                <c:pt idx="14">
                  <c:v>165.54</c:v>
                </c:pt>
                <c:pt idx="15">
                  <c:v>187.5</c:v>
                </c:pt>
                <c:pt idx="16">
                  <c:v>205.2</c:v>
                </c:pt>
                <c:pt idx="17">
                  <c:v>215.82</c:v>
                </c:pt>
                <c:pt idx="18">
                  <c:v>235.79999999999998</c:v>
                </c:pt>
                <c:pt idx="19">
                  <c:v>240.36</c:v>
                </c:pt>
                <c:pt idx="20">
                  <c:v>252.89999999999998</c:v>
                </c:pt>
                <c:pt idx="21">
                  <c:v>255.48</c:v>
                </c:pt>
                <c:pt idx="22">
                  <c:v>273.71999999999997</c:v>
                </c:pt>
                <c:pt idx="23">
                  <c:v>277.5</c:v>
                </c:pt>
                <c:pt idx="24">
                  <c:v>278.27999999999997</c:v>
                </c:pt>
                <c:pt idx="25">
                  <c:v>295.56</c:v>
                </c:pt>
                <c:pt idx="26">
                  <c:v>297</c:v>
                </c:pt>
                <c:pt idx="27">
                  <c:v>297.3</c:v>
                </c:pt>
                <c:pt idx="28">
                  <c:v>339.36</c:v>
                </c:pt>
                <c:pt idx="29">
                  <c:v>381.66</c:v>
                </c:pt>
                <c:pt idx="30">
                  <c:v>386.16</c:v>
                </c:pt>
                <c:pt idx="31">
                  <c:v>441.12</c:v>
                </c:pt>
                <c:pt idx="32">
                  <c:v>443.09999999999997</c:v>
                </c:pt>
                <c:pt idx="33">
                  <c:v>475.37999999999994</c:v>
                </c:pt>
                <c:pt idx="34">
                  <c:v>476.15999999999997</c:v>
                </c:pt>
                <c:pt idx="35">
                  <c:v>525.36</c:v>
                </c:pt>
                <c:pt idx="36">
                  <c:v>606</c:v>
                </c:pt>
                <c:pt idx="37">
                  <c:v>618</c:v>
                </c:pt>
                <c:pt idx="38">
                  <c:v>624</c:v>
                </c:pt>
                <c:pt idx="39">
                  <c:v>642</c:v>
                </c:pt>
                <c:pt idx="40">
                  <c:v>690</c:v>
                </c:pt>
                <c:pt idx="41">
                  <c:v>744</c:v>
                </c:pt>
                <c:pt idx="42">
                  <c:v>750</c:v>
                </c:pt>
                <c:pt idx="43">
                  <c:v>786</c:v>
                </c:pt>
                <c:pt idx="44">
                  <c:v>966</c:v>
                </c:pt>
                <c:pt idx="45">
                  <c:v>990</c:v>
                </c:pt>
                <c:pt idx="46">
                  <c:v>1026</c:v>
                </c:pt>
                <c:pt idx="47">
                  <c:v>1050</c:v>
                </c:pt>
                <c:pt idx="48">
                  <c:v>1110</c:v>
                </c:pt>
                <c:pt idx="49">
                  <c:v>1164</c:v>
                </c:pt>
                <c:pt idx="50">
                  <c:v>1326</c:v>
                </c:pt>
              </c:numCache>
            </c:numRef>
          </c:xVal>
          <c:yVal>
            <c:numRef>
              <c:f>Ensaios!$C$16:$C$66</c:f>
              <c:numCache>
                <c:formatCode>0.0000</c:formatCode>
                <c:ptCount val="51"/>
                <c:pt idx="0" formatCode="General">
                  <c:v>0</c:v>
                </c:pt>
                <c:pt idx="1">
                  <c:v>1.3100000000000001E-2</c:v>
                </c:pt>
                <c:pt idx="2">
                  <c:v>1.3899999999999999E-2</c:v>
                </c:pt>
                <c:pt idx="3">
                  <c:v>1.8499999999999999E-2</c:v>
                </c:pt>
                <c:pt idx="4">
                  <c:v>2.1299999999999999E-2</c:v>
                </c:pt>
                <c:pt idx="5">
                  <c:v>2.58E-2</c:v>
                </c:pt>
                <c:pt idx="6">
                  <c:v>2.7099999999999999E-2</c:v>
                </c:pt>
                <c:pt idx="7">
                  <c:v>3.7199999999999997E-2</c:v>
                </c:pt>
                <c:pt idx="8">
                  <c:v>5.7799999999999997E-2</c:v>
                </c:pt>
                <c:pt idx="9">
                  <c:v>6.54E-2</c:v>
                </c:pt>
                <c:pt idx="10">
                  <c:v>8.3799999999999999E-2</c:v>
                </c:pt>
                <c:pt idx="11">
                  <c:v>9.3600000000000003E-2</c:v>
                </c:pt>
                <c:pt idx="12">
                  <c:v>0.12640000000000001</c:v>
                </c:pt>
                <c:pt idx="13">
                  <c:v>0.1399</c:v>
                </c:pt>
                <c:pt idx="14">
                  <c:v>0.16420000000000001</c:v>
                </c:pt>
                <c:pt idx="15">
                  <c:v>0.1865</c:v>
                </c:pt>
                <c:pt idx="16">
                  <c:v>0.19739999999999999</c:v>
                </c:pt>
                <c:pt idx="17">
                  <c:v>0.21759999999999999</c:v>
                </c:pt>
                <c:pt idx="18">
                  <c:v>0.23730000000000001</c:v>
                </c:pt>
                <c:pt idx="19">
                  <c:v>0.23730000000000001</c:v>
                </c:pt>
                <c:pt idx="20">
                  <c:v>0.25140000000000001</c:v>
                </c:pt>
                <c:pt idx="21">
                  <c:v>0.25969999999999999</c:v>
                </c:pt>
                <c:pt idx="22">
                  <c:v>0.27489999999999998</c:v>
                </c:pt>
                <c:pt idx="23">
                  <c:v>0.27500000000000002</c:v>
                </c:pt>
                <c:pt idx="24">
                  <c:v>0.27989999999999998</c:v>
                </c:pt>
                <c:pt idx="25">
                  <c:v>0.29709999999999998</c:v>
                </c:pt>
                <c:pt idx="26">
                  <c:v>0.29630000000000001</c:v>
                </c:pt>
                <c:pt idx="27">
                  <c:v>0.29699999999999999</c:v>
                </c:pt>
                <c:pt idx="28">
                  <c:v>0.33729999999999999</c:v>
                </c:pt>
                <c:pt idx="29">
                  <c:v>0.38479999999999998</c:v>
                </c:pt>
                <c:pt idx="30">
                  <c:v>0.38690000000000002</c:v>
                </c:pt>
                <c:pt idx="31">
                  <c:v>0.43780000000000002</c:v>
                </c:pt>
                <c:pt idx="32">
                  <c:v>0.443</c:v>
                </c:pt>
                <c:pt idx="33">
                  <c:v>0.47699999999999998</c:v>
                </c:pt>
                <c:pt idx="34">
                  <c:v>0.47499999999999998</c:v>
                </c:pt>
                <c:pt idx="35">
                  <c:v>0.52410000000000001</c:v>
                </c:pt>
                <c:pt idx="36">
                  <c:v>0.60599999999999998</c:v>
                </c:pt>
                <c:pt idx="37">
                  <c:v>0.61699999999999999</c:v>
                </c:pt>
                <c:pt idx="38">
                  <c:v>0.61899999999999999</c:v>
                </c:pt>
                <c:pt idx="39">
                  <c:v>0.625</c:v>
                </c:pt>
                <c:pt idx="40">
                  <c:v>0.68200000000000005</c:v>
                </c:pt>
                <c:pt idx="41">
                  <c:v>0.751</c:v>
                </c:pt>
                <c:pt idx="42">
                  <c:v>0.752</c:v>
                </c:pt>
                <c:pt idx="43">
                  <c:v>0.79200000000000004</c:v>
                </c:pt>
                <c:pt idx="44">
                  <c:v>0.97099999999999997</c:v>
                </c:pt>
                <c:pt idx="45">
                  <c:v>0.97399999999999998</c:v>
                </c:pt>
                <c:pt idx="46">
                  <c:v>1.036</c:v>
                </c:pt>
                <c:pt idx="47">
                  <c:v>1.0389999999999999</c:v>
                </c:pt>
                <c:pt idx="48">
                  <c:v>1.107</c:v>
                </c:pt>
                <c:pt idx="49">
                  <c:v>1.1559999999999999</c:v>
                </c:pt>
                <c:pt idx="50">
                  <c:v>1.331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A-4758-8964-6E641DBFF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</c:valAx>
      <c:valAx>
        <c:axId val="6642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Rotor travado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1.6526480701540214E-2"/>
                  <c:y val="0.189398148148148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Ensaios!$AE$7:$AE$80</c:f>
              <c:numCache>
                <c:formatCode>General</c:formatCode>
                <c:ptCount val="74"/>
                <c:pt idx="0">
                  <c:v>0</c:v>
                </c:pt>
                <c:pt idx="1">
                  <c:v>1.1199999999999999</c:v>
                </c:pt>
                <c:pt idx="2">
                  <c:v>1.1400000000000001</c:v>
                </c:pt>
                <c:pt idx="3">
                  <c:v>1.2</c:v>
                </c:pt>
                <c:pt idx="4">
                  <c:v>1.6</c:v>
                </c:pt>
                <c:pt idx="5">
                  <c:v>1.7600000000000002</c:v>
                </c:pt>
                <c:pt idx="6">
                  <c:v>1.8399999999999999</c:v>
                </c:pt>
                <c:pt idx="7">
                  <c:v>2.12</c:v>
                </c:pt>
                <c:pt idx="8">
                  <c:v>2.44</c:v>
                </c:pt>
                <c:pt idx="9">
                  <c:v>2.66</c:v>
                </c:pt>
                <c:pt idx="10">
                  <c:v>2.7399999999999998</c:v>
                </c:pt>
                <c:pt idx="11">
                  <c:v>3</c:v>
                </c:pt>
                <c:pt idx="12">
                  <c:v>3.3</c:v>
                </c:pt>
                <c:pt idx="13">
                  <c:v>3.5799999999999996</c:v>
                </c:pt>
                <c:pt idx="14">
                  <c:v>4.0600000000000005</c:v>
                </c:pt>
                <c:pt idx="15">
                  <c:v>4.08</c:v>
                </c:pt>
                <c:pt idx="16">
                  <c:v>4.2200000000000006</c:v>
                </c:pt>
                <c:pt idx="17">
                  <c:v>4.3</c:v>
                </c:pt>
                <c:pt idx="18">
                  <c:v>4.4799999999999995</c:v>
                </c:pt>
                <c:pt idx="19">
                  <c:v>4.58</c:v>
                </c:pt>
                <c:pt idx="20">
                  <c:v>5.0600000000000005</c:v>
                </c:pt>
                <c:pt idx="21">
                  <c:v>5.18</c:v>
                </c:pt>
                <c:pt idx="22">
                  <c:v>5.64</c:v>
                </c:pt>
                <c:pt idx="23">
                  <c:v>5.9</c:v>
                </c:pt>
                <c:pt idx="24">
                  <c:v>5.9799999999999995</c:v>
                </c:pt>
                <c:pt idx="25">
                  <c:v>6.26</c:v>
                </c:pt>
                <c:pt idx="26">
                  <c:v>6.5400000000000009</c:v>
                </c:pt>
                <c:pt idx="27">
                  <c:v>6.76</c:v>
                </c:pt>
                <c:pt idx="28">
                  <c:v>6.8400000000000007</c:v>
                </c:pt>
                <c:pt idx="29">
                  <c:v>7.08</c:v>
                </c:pt>
                <c:pt idx="30">
                  <c:v>7.4599999999999991</c:v>
                </c:pt>
                <c:pt idx="31">
                  <c:v>7.74</c:v>
                </c:pt>
                <c:pt idx="32">
                  <c:v>8.0400000000000009</c:v>
                </c:pt>
                <c:pt idx="33">
                  <c:v>8.16</c:v>
                </c:pt>
                <c:pt idx="34">
                  <c:v>8.5</c:v>
                </c:pt>
                <c:pt idx="35">
                  <c:v>8.5400000000000009</c:v>
                </c:pt>
                <c:pt idx="36">
                  <c:v>8.7799999999999994</c:v>
                </c:pt>
                <c:pt idx="37">
                  <c:v>9.08</c:v>
                </c:pt>
                <c:pt idx="38">
                  <c:v>9.36</c:v>
                </c:pt>
                <c:pt idx="39">
                  <c:v>9.4400000000000013</c:v>
                </c:pt>
                <c:pt idx="40">
                  <c:v>10</c:v>
                </c:pt>
                <c:pt idx="41">
                  <c:v>10.220000000000001</c:v>
                </c:pt>
                <c:pt idx="42">
                  <c:v>10.26</c:v>
                </c:pt>
                <c:pt idx="43">
                  <c:v>10.58</c:v>
                </c:pt>
                <c:pt idx="44">
                  <c:v>10.959999999999999</c:v>
                </c:pt>
                <c:pt idx="45">
                  <c:v>11.14</c:v>
                </c:pt>
                <c:pt idx="46">
                  <c:v>11.5</c:v>
                </c:pt>
                <c:pt idx="47">
                  <c:v>11.6</c:v>
                </c:pt>
                <c:pt idx="48">
                  <c:v>11.82</c:v>
                </c:pt>
                <c:pt idx="49">
                  <c:v>11.879999999999999</c:v>
                </c:pt>
                <c:pt idx="50">
                  <c:v>12.26</c:v>
                </c:pt>
                <c:pt idx="51">
                  <c:v>12.34</c:v>
                </c:pt>
                <c:pt idx="52">
                  <c:v>12.76</c:v>
                </c:pt>
                <c:pt idx="53">
                  <c:v>12.8</c:v>
                </c:pt>
                <c:pt idx="54">
                  <c:v>13.040000000000001</c:v>
                </c:pt>
                <c:pt idx="55">
                  <c:v>13.219999999999999</c:v>
                </c:pt>
                <c:pt idx="56">
                  <c:v>13.580000000000002</c:v>
                </c:pt>
                <c:pt idx="57">
                  <c:v>13.680000000000001</c:v>
                </c:pt>
                <c:pt idx="58">
                  <c:v>13.940000000000001</c:v>
                </c:pt>
                <c:pt idx="59">
                  <c:v>14.559999999999999</c:v>
                </c:pt>
                <c:pt idx="60">
                  <c:v>14.64</c:v>
                </c:pt>
                <c:pt idx="61">
                  <c:v>14.7</c:v>
                </c:pt>
                <c:pt idx="62">
                  <c:v>14.8</c:v>
                </c:pt>
                <c:pt idx="63">
                  <c:v>15.1</c:v>
                </c:pt>
                <c:pt idx="64">
                  <c:v>15.36</c:v>
                </c:pt>
                <c:pt idx="65">
                  <c:v>15.419999999999998</c:v>
                </c:pt>
                <c:pt idx="66">
                  <c:v>15.919999999999998</c:v>
                </c:pt>
                <c:pt idx="67">
                  <c:v>16.16</c:v>
                </c:pt>
                <c:pt idx="68">
                  <c:v>16.259999999999998</c:v>
                </c:pt>
                <c:pt idx="69">
                  <c:v>16.3</c:v>
                </c:pt>
                <c:pt idx="70">
                  <c:v>16.82</c:v>
                </c:pt>
                <c:pt idx="71">
                  <c:v>16.919999999999998</c:v>
                </c:pt>
                <c:pt idx="72">
                  <c:v>17.399999999999999</c:v>
                </c:pt>
                <c:pt idx="73">
                  <c:v>17.48</c:v>
                </c:pt>
              </c:numCache>
            </c:numRef>
          </c:xVal>
          <c:yVal>
            <c:numRef>
              <c:f>Ensaios!$AH$7:$AH$80</c:f>
              <c:numCache>
                <c:formatCode>General</c:formatCode>
                <c:ptCount val="74"/>
                <c:pt idx="0">
                  <c:v>0</c:v>
                </c:pt>
                <c:pt idx="1">
                  <c:v>6.7960084500000009E-3</c:v>
                </c:pt>
                <c:pt idx="2">
                  <c:v>9.0613446E-3</c:v>
                </c:pt>
                <c:pt idx="3">
                  <c:v>1.132668075E-2</c:v>
                </c:pt>
                <c:pt idx="4">
                  <c:v>1.3592016900000002E-2</c:v>
                </c:pt>
                <c:pt idx="5">
                  <c:v>1.5857353049999998E-2</c:v>
                </c:pt>
                <c:pt idx="6">
                  <c:v>1.81226892E-2</c:v>
                </c:pt>
                <c:pt idx="7">
                  <c:v>2.0388025350000002E-2</c:v>
                </c:pt>
                <c:pt idx="8">
                  <c:v>2.26533615E-2</c:v>
                </c:pt>
                <c:pt idx="9">
                  <c:v>2.4918697650000002E-2</c:v>
                </c:pt>
                <c:pt idx="10">
                  <c:v>2.7184033800000004E-2</c:v>
                </c:pt>
                <c:pt idx="11">
                  <c:v>2.9449369950000005E-2</c:v>
                </c:pt>
                <c:pt idx="12">
                  <c:v>3.1714706099999997E-2</c:v>
                </c:pt>
                <c:pt idx="13">
                  <c:v>3.3980042250000002E-2</c:v>
                </c:pt>
                <c:pt idx="14">
                  <c:v>3.62453784E-2</c:v>
                </c:pt>
                <c:pt idx="15">
                  <c:v>3.8510714549999998E-2</c:v>
                </c:pt>
                <c:pt idx="16">
                  <c:v>4.0776050700000004E-2</c:v>
                </c:pt>
                <c:pt idx="17">
                  <c:v>4.3041386850000009E-2</c:v>
                </c:pt>
                <c:pt idx="18">
                  <c:v>4.5306723E-2</c:v>
                </c:pt>
                <c:pt idx="19">
                  <c:v>4.7572059149999998E-2</c:v>
                </c:pt>
                <c:pt idx="20">
                  <c:v>4.9837395300000004E-2</c:v>
                </c:pt>
                <c:pt idx="21">
                  <c:v>5.2102731449999995E-2</c:v>
                </c:pt>
                <c:pt idx="22">
                  <c:v>5.4368067600000007E-2</c:v>
                </c:pt>
                <c:pt idx="23">
                  <c:v>5.6633403750000005E-2</c:v>
                </c:pt>
                <c:pt idx="24">
                  <c:v>5.8898739900000011E-2</c:v>
                </c:pt>
                <c:pt idx="25">
                  <c:v>6.1164076050000002E-2</c:v>
                </c:pt>
                <c:pt idx="26">
                  <c:v>6.3429412199999993E-2</c:v>
                </c:pt>
                <c:pt idx="27">
                  <c:v>6.5694748350000012E-2</c:v>
                </c:pt>
                <c:pt idx="28">
                  <c:v>6.7960084500000004E-2</c:v>
                </c:pt>
                <c:pt idx="29">
                  <c:v>7.0225420649999995E-2</c:v>
                </c:pt>
                <c:pt idx="30">
                  <c:v>7.24907568E-2</c:v>
                </c:pt>
                <c:pt idx="31">
                  <c:v>7.4756092950000005E-2</c:v>
                </c:pt>
                <c:pt idx="32">
                  <c:v>7.7021429099999997E-2</c:v>
                </c:pt>
                <c:pt idx="33">
                  <c:v>7.9286765250000002E-2</c:v>
                </c:pt>
                <c:pt idx="34">
                  <c:v>8.1552101400000007E-2</c:v>
                </c:pt>
                <c:pt idx="35">
                  <c:v>8.3817437549999999E-2</c:v>
                </c:pt>
                <c:pt idx="36">
                  <c:v>8.6082773700000018E-2</c:v>
                </c:pt>
                <c:pt idx="37">
                  <c:v>8.8348109850000009E-2</c:v>
                </c:pt>
                <c:pt idx="38">
                  <c:v>9.0613446E-2</c:v>
                </c:pt>
                <c:pt idx="39">
                  <c:v>9.2878782149999992E-2</c:v>
                </c:pt>
                <c:pt idx="40">
                  <c:v>9.5144118299999997E-2</c:v>
                </c:pt>
                <c:pt idx="41">
                  <c:v>9.7409454449999988E-2</c:v>
                </c:pt>
                <c:pt idx="42">
                  <c:v>9.9674790600000007E-2</c:v>
                </c:pt>
                <c:pt idx="43">
                  <c:v>0.10194012675</c:v>
                </c:pt>
                <c:pt idx="44">
                  <c:v>0.10420546289999999</c:v>
                </c:pt>
                <c:pt idx="45">
                  <c:v>0.10647079905</c:v>
                </c:pt>
                <c:pt idx="46">
                  <c:v>0.10873613520000001</c:v>
                </c:pt>
                <c:pt idx="47">
                  <c:v>0.11100147135000001</c:v>
                </c:pt>
                <c:pt idx="48">
                  <c:v>0.11326680750000001</c:v>
                </c:pt>
                <c:pt idx="49">
                  <c:v>0.11553214365</c:v>
                </c:pt>
                <c:pt idx="50">
                  <c:v>0.11779747980000002</c:v>
                </c:pt>
                <c:pt idx="51">
                  <c:v>0.12006281594999998</c:v>
                </c:pt>
                <c:pt idx="52">
                  <c:v>0.1223281521</c:v>
                </c:pt>
                <c:pt idx="53">
                  <c:v>0.12459348825000001</c:v>
                </c:pt>
                <c:pt idx="54">
                  <c:v>0.12685882439999999</c:v>
                </c:pt>
                <c:pt idx="55">
                  <c:v>0.12912416055000001</c:v>
                </c:pt>
                <c:pt idx="56">
                  <c:v>0.13138949670000002</c:v>
                </c:pt>
                <c:pt idx="57">
                  <c:v>0.13365483284999999</c:v>
                </c:pt>
                <c:pt idx="58">
                  <c:v>0.13592016900000001</c:v>
                </c:pt>
                <c:pt idx="59">
                  <c:v>0.13818550515000003</c:v>
                </c:pt>
                <c:pt idx="60">
                  <c:v>0.14045084129999999</c:v>
                </c:pt>
                <c:pt idx="61">
                  <c:v>0.14271617745000001</c:v>
                </c:pt>
                <c:pt idx="62">
                  <c:v>0.1449815136</c:v>
                </c:pt>
                <c:pt idx="63">
                  <c:v>0.14724684974999999</c:v>
                </c:pt>
                <c:pt idx="64">
                  <c:v>0.14951218590000001</c:v>
                </c:pt>
                <c:pt idx="65">
                  <c:v>0.15177752205</c:v>
                </c:pt>
                <c:pt idx="66">
                  <c:v>0.15404285819999999</c:v>
                </c:pt>
                <c:pt idx="67">
                  <c:v>0.15630819434999998</c:v>
                </c:pt>
                <c:pt idx="68">
                  <c:v>0.1585735305</c:v>
                </c:pt>
                <c:pt idx="69">
                  <c:v>0.16083886665000002</c:v>
                </c:pt>
                <c:pt idx="70">
                  <c:v>0.16310420280000001</c:v>
                </c:pt>
                <c:pt idx="71">
                  <c:v>0.16536953895000003</c:v>
                </c:pt>
                <c:pt idx="72">
                  <c:v>0.1676348751</c:v>
                </c:pt>
                <c:pt idx="73">
                  <c:v>0.16990021125000002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5-4776-A4BE-2DAEE31A4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Corrente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</c:valAx>
      <c:valAx>
        <c:axId val="664297328"/>
        <c:scaling>
          <c:orientation val="minMax"/>
          <c:max val="0.175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Torque</a:t>
                </a:r>
                <a:r>
                  <a:rPr lang="pt-BR" baseline="0"/>
                  <a:t> [Nm]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Ensaios!$F$16:$F$66</c:f>
              <c:numCache>
                <c:formatCode>0.000</c:formatCode>
                <c:ptCount val="51"/>
                <c:pt idx="0" formatCode="General">
                  <c:v>0</c:v>
                </c:pt>
                <c:pt idx="1">
                  <c:v>1.365964485780842</c:v>
                </c:pt>
                <c:pt idx="2">
                  <c:v>1.4331945685676635</c:v>
                </c:pt>
                <c:pt idx="3">
                  <c:v>1.941504259918492</c:v>
                </c:pt>
                <c:pt idx="4">
                  <c:v>2.2537785696853172</c:v>
                </c:pt>
                <c:pt idx="5">
                  <c:v>2.6898316300035807</c:v>
                </c:pt>
                <c:pt idx="6">
                  <c:v>2.9009466563248152</c:v>
                </c:pt>
                <c:pt idx="7">
                  <c:v>3.8974598460434966</c:v>
                </c:pt>
                <c:pt idx="8">
                  <c:v>6.0299729393002481</c:v>
                </c:pt>
                <c:pt idx="9">
                  <c:v>6.8109728729826715</c:v>
                </c:pt>
                <c:pt idx="10">
                  <c:v>8.7713266888227004</c:v>
                </c:pt>
                <c:pt idx="11">
                  <c:v>9.8017690792001542</c:v>
                </c:pt>
                <c:pt idx="12">
                  <c:v>13.18840595976995</c:v>
                </c:pt>
                <c:pt idx="13">
                  <c:v>14.514158059584844</c:v>
                </c:pt>
                <c:pt idx="14">
                  <c:v>17.335308262508477</c:v>
                </c:pt>
                <c:pt idx="15">
                  <c:v>19.634954084936208</c:v>
                </c:pt>
                <c:pt idx="16">
                  <c:v>21.488493750554184</c:v>
                </c:pt>
                <c:pt idx="17">
                  <c:v>22.600617549924969</c:v>
                </c:pt>
                <c:pt idx="18">
                  <c:v>24.692918257215769</c:v>
                </c:pt>
                <c:pt idx="19">
                  <c:v>25.170440340561424</c:v>
                </c:pt>
                <c:pt idx="20">
                  <c:v>26.483626069761954</c:v>
                </c:pt>
                <c:pt idx="21">
                  <c:v>26.753803037970677</c:v>
                </c:pt>
                <c:pt idx="22">
                  <c:v>28.663891371353269</c:v>
                </c:pt>
                <c:pt idx="23">
                  <c:v>29.059732045705584</c:v>
                </c:pt>
                <c:pt idx="24">
                  <c:v>29.141413454698917</c:v>
                </c:pt>
                <c:pt idx="25">
                  <c:v>30.950970823166642</c:v>
                </c:pt>
                <c:pt idx="26">
                  <c:v>31.10176727053895</c:v>
                </c:pt>
                <c:pt idx="27">
                  <c:v>31.13318319707485</c:v>
                </c:pt>
                <c:pt idx="28">
                  <c:v>35.537696097407739</c:v>
                </c:pt>
                <c:pt idx="29">
                  <c:v>39.967341738969345</c:v>
                </c:pt>
                <c:pt idx="30">
                  <c:v>40.438580637007817</c:v>
                </c:pt>
                <c:pt idx="31">
                  <c:v>46.193978378384315</c:v>
                </c:pt>
                <c:pt idx="32">
                  <c:v>46.40132349352124</c:v>
                </c:pt>
                <c:pt idx="33">
                  <c:v>49.781677188783853</c:v>
                </c:pt>
                <c:pt idx="34">
                  <c:v>49.863358597777193</c:v>
                </c:pt>
                <c:pt idx="35">
                  <c:v>55.015570549664453</c:v>
                </c:pt>
                <c:pt idx="36">
                  <c:v>63.460171602513817</c:v>
                </c:pt>
                <c:pt idx="37">
                  <c:v>64.716808663949735</c:v>
                </c:pt>
                <c:pt idx="38">
                  <c:v>65.345127194667697</c:v>
                </c:pt>
                <c:pt idx="39">
                  <c:v>67.230082786821569</c:v>
                </c:pt>
                <c:pt idx="40">
                  <c:v>72.256631032565238</c:v>
                </c:pt>
                <c:pt idx="41">
                  <c:v>77.911497809026869</c:v>
                </c:pt>
                <c:pt idx="42">
                  <c:v>78.539816339744831</c:v>
                </c:pt>
                <c:pt idx="43">
                  <c:v>82.309727524052576</c:v>
                </c:pt>
                <c:pt idx="44">
                  <c:v>101.15928344559133</c:v>
                </c:pt>
                <c:pt idx="45">
                  <c:v>103.67255756846316</c:v>
                </c:pt>
                <c:pt idx="46">
                  <c:v>107.44246875277092</c:v>
                </c:pt>
                <c:pt idx="47">
                  <c:v>109.95574287564276</c:v>
                </c:pt>
                <c:pt idx="48">
                  <c:v>116.23892818282233</c:v>
                </c:pt>
                <c:pt idx="49">
                  <c:v>121.89379495928397</c:v>
                </c:pt>
                <c:pt idx="50">
                  <c:v>138.85839528866885</c:v>
                </c:pt>
              </c:numCache>
            </c:numRef>
          </c:xVal>
          <c:yVal>
            <c:numRef>
              <c:f>Ensaios!$C$16:$C$66</c:f>
              <c:numCache>
                <c:formatCode>0.0000</c:formatCode>
                <c:ptCount val="51"/>
                <c:pt idx="0" formatCode="General">
                  <c:v>0</c:v>
                </c:pt>
                <c:pt idx="1">
                  <c:v>1.3100000000000001E-2</c:v>
                </c:pt>
                <c:pt idx="2">
                  <c:v>1.3899999999999999E-2</c:v>
                </c:pt>
                <c:pt idx="3">
                  <c:v>1.8499999999999999E-2</c:v>
                </c:pt>
                <c:pt idx="4">
                  <c:v>2.1299999999999999E-2</c:v>
                </c:pt>
                <c:pt idx="5">
                  <c:v>2.58E-2</c:v>
                </c:pt>
                <c:pt idx="6">
                  <c:v>2.7099999999999999E-2</c:v>
                </c:pt>
                <c:pt idx="7">
                  <c:v>3.7199999999999997E-2</c:v>
                </c:pt>
                <c:pt idx="8">
                  <c:v>5.7799999999999997E-2</c:v>
                </c:pt>
                <c:pt idx="9">
                  <c:v>6.54E-2</c:v>
                </c:pt>
                <c:pt idx="10">
                  <c:v>8.3799999999999999E-2</c:v>
                </c:pt>
                <c:pt idx="11">
                  <c:v>9.3600000000000003E-2</c:v>
                </c:pt>
                <c:pt idx="12">
                  <c:v>0.12640000000000001</c:v>
                </c:pt>
                <c:pt idx="13">
                  <c:v>0.1399</c:v>
                </c:pt>
                <c:pt idx="14">
                  <c:v>0.16420000000000001</c:v>
                </c:pt>
                <c:pt idx="15">
                  <c:v>0.1865</c:v>
                </c:pt>
                <c:pt idx="16">
                  <c:v>0.19739999999999999</c:v>
                </c:pt>
                <c:pt idx="17">
                  <c:v>0.21759999999999999</c:v>
                </c:pt>
                <c:pt idx="18">
                  <c:v>0.23730000000000001</c:v>
                </c:pt>
                <c:pt idx="19">
                  <c:v>0.23730000000000001</c:v>
                </c:pt>
                <c:pt idx="20">
                  <c:v>0.25140000000000001</c:v>
                </c:pt>
                <c:pt idx="21">
                  <c:v>0.25969999999999999</c:v>
                </c:pt>
                <c:pt idx="22">
                  <c:v>0.27489999999999998</c:v>
                </c:pt>
                <c:pt idx="23">
                  <c:v>0.27500000000000002</c:v>
                </c:pt>
                <c:pt idx="24">
                  <c:v>0.27989999999999998</c:v>
                </c:pt>
                <c:pt idx="25">
                  <c:v>0.29709999999999998</c:v>
                </c:pt>
                <c:pt idx="26">
                  <c:v>0.29630000000000001</c:v>
                </c:pt>
                <c:pt idx="27">
                  <c:v>0.29699999999999999</c:v>
                </c:pt>
                <c:pt idx="28">
                  <c:v>0.33729999999999999</c:v>
                </c:pt>
                <c:pt idx="29">
                  <c:v>0.38479999999999998</c:v>
                </c:pt>
                <c:pt idx="30">
                  <c:v>0.38690000000000002</c:v>
                </c:pt>
                <c:pt idx="31">
                  <c:v>0.43780000000000002</c:v>
                </c:pt>
                <c:pt idx="32">
                  <c:v>0.443</c:v>
                </c:pt>
                <c:pt idx="33">
                  <c:v>0.47699999999999998</c:v>
                </c:pt>
                <c:pt idx="34">
                  <c:v>0.47499999999999998</c:v>
                </c:pt>
                <c:pt idx="35">
                  <c:v>0.52410000000000001</c:v>
                </c:pt>
                <c:pt idx="36">
                  <c:v>0.60599999999999998</c:v>
                </c:pt>
                <c:pt idx="37">
                  <c:v>0.61699999999999999</c:v>
                </c:pt>
                <c:pt idx="38">
                  <c:v>0.61899999999999999</c:v>
                </c:pt>
                <c:pt idx="39">
                  <c:v>0.625</c:v>
                </c:pt>
                <c:pt idx="40">
                  <c:v>0.68200000000000005</c:v>
                </c:pt>
                <c:pt idx="41">
                  <c:v>0.751</c:v>
                </c:pt>
                <c:pt idx="42">
                  <c:v>0.752</c:v>
                </c:pt>
                <c:pt idx="43">
                  <c:v>0.79200000000000004</c:v>
                </c:pt>
                <c:pt idx="44">
                  <c:v>0.97099999999999997</c:v>
                </c:pt>
                <c:pt idx="45">
                  <c:v>0.97399999999999998</c:v>
                </c:pt>
                <c:pt idx="46">
                  <c:v>1.036</c:v>
                </c:pt>
                <c:pt idx="47">
                  <c:v>1.0389999999999999</c:v>
                </c:pt>
                <c:pt idx="48">
                  <c:v>1.107</c:v>
                </c:pt>
                <c:pt idx="49">
                  <c:v>1.1559999999999999</c:v>
                </c:pt>
                <c:pt idx="50">
                  <c:v>1.331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D0-4613-8F84-99F7C948F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Velocidade angular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  <c:majorUnit val="10"/>
      </c:valAx>
      <c:valAx>
        <c:axId val="6642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Força</a:t>
                </a:r>
                <a:r>
                  <a:rPr lang="pt-BR" baseline="0">
                    <a:solidFill>
                      <a:schemeClr val="tx1"/>
                    </a:solidFill>
                  </a:rPr>
                  <a:t> contraeletromotriz</a:t>
                </a:r>
                <a:r>
                  <a:rPr lang="pt-BR">
                    <a:solidFill>
                      <a:schemeClr val="tx1"/>
                    </a:solidFill>
                  </a:rPr>
                  <a:t>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Ensaios!$V$7:$V$23</c:f>
              <c:numCache>
                <c:formatCode>General</c:formatCode>
                <c:ptCount val="17"/>
                <c:pt idx="0">
                  <c:v>142.75397017912022</c:v>
                </c:pt>
                <c:pt idx="1">
                  <c:v>196.34954084936209</c:v>
                </c:pt>
                <c:pt idx="2">
                  <c:v>253.33803158548091</c:v>
                </c:pt>
                <c:pt idx="3">
                  <c:v>308.0017437579433</c:v>
                </c:pt>
                <c:pt idx="4">
                  <c:v>369.5769597683032</c:v>
                </c:pt>
                <c:pt idx="5">
                  <c:v>413.37076135934495</c:v>
                </c:pt>
                <c:pt idx="6">
                  <c:v>468.91411947481254</c:v>
                </c:pt>
                <c:pt idx="7">
                  <c:v>523.57783164727493</c:v>
                </c:pt>
                <c:pt idx="8">
                  <c:v>571.20437627569618</c:v>
                </c:pt>
                <c:pt idx="9">
                  <c:v>628.31853071795865</c:v>
                </c:pt>
                <c:pt idx="10">
                  <c:v>682.98224289042105</c:v>
                </c:pt>
                <c:pt idx="11">
                  <c:v>730.60878751884229</c:v>
                </c:pt>
                <c:pt idx="12">
                  <c:v>802.80258669833563</c:v>
                </c:pt>
                <c:pt idx="13">
                  <c:v>845.96806975865945</c:v>
                </c:pt>
                <c:pt idx="14">
                  <c:v>914.83178072534781</c:v>
                </c:pt>
                <c:pt idx="15">
                  <c:v>951.96540589077915</c:v>
                </c:pt>
                <c:pt idx="16">
                  <c:v>981.74770424681037</c:v>
                </c:pt>
              </c:numCache>
            </c:numRef>
          </c:xVal>
          <c:yVal>
            <c:numRef>
              <c:f>Ensaios!$Z$7:$Z$23</c:f>
              <c:numCache>
                <c:formatCode>General</c:formatCode>
                <c:ptCount val="17"/>
                <c:pt idx="0">
                  <c:v>7.3814808394899508E-3</c:v>
                </c:pt>
                <c:pt idx="1">
                  <c:v>7.7224464547865357E-3</c:v>
                </c:pt>
                <c:pt idx="2">
                  <c:v>7.8818097022365138E-3</c:v>
                </c:pt>
                <c:pt idx="3">
                  <c:v>8.0392222734263497E-3</c:v>
                </c:pt>
                <c:pt idx="4">
                  <c:v>8.1139582047627789E-3</c:v>
                </c:pt>
                <c:pt idx="5">
                  <c:v>8.5538630220141961E-3</c:v>
                </c:pt>
                <c:pt idx="6">
                  <c:v>8.7069800426427986E-3</c:v>
                </c:pt>
                <c:pt idx="7">
                  <c:v>9.0012869758474695E-3</c:v>
                </c:pt>
                <c:pt idx="8">
                  <c:v>9.3131773243198251E-3</c:v>
                </c:pt>
                <c:pt idx="9">
                  <c:v>9.4523903336047443E-3</c:v>
                </c:pt>
                <c:pt idx="10">
                  <c:v>9.6626058889761335E-3</c:v>
                </c:pt>
                <c:pt idx="11">
                  <c:v>9.9117601278717396E-3</c:v>
                </c:pt>
                <c:pt idx="12">
                  <c:v>1.0244195738024152E-2</c:v>
                </c:pt>
                <c:pt idx="13">
                  <c:v>1.0618509831528167E-2</c:v>
                </c:pt>
                <c:pt idx="14">
                  <c:v>1.0736014933441715E-2</c:v>
                </c:pt>
                <c:pt idx="15">
                  <c:v>1.0986583750559498E-2</c:v>
                </c:pt>
                <c:pt idx="16">
                  <c:v>1.1182147523203722E-2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torque_perdas_velocidadeangular</c:v>
                </c15:tx>
              </c15:filteredSeriesTitle>
            </c:ext>
            <c:ext xmlns:c16="http://schemas.microsoft.com/office/drawing/2014/chart" uri="{C3380CC4-5D6E-409C-BE32-E72D297353CC}">
              <c16:uniqueId val="{00000000-39E6-463D-A931-B060F21DD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04656"/>
        <c:axId val="1081845664"/>
      </c:scatterChart>
      <c:valAx>
        <c:axId val="1230604656"/>
        <c:scaling>
          <c:orientation val="minMax"/>
          <c:max val="100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solidFill>
                      <a:schemeClr val="tx1"/>
                    </a:solidFill>
                  </a:rPr>
                  <a:t>ω [</a:t>
                </a:r>
                <a:r>
                  <a:rPr lang="pt-BR">
                    <a:solidFill>
                      <a:schemeClr val="tx1"/>
                    </a:solidFill>
                  </a:rPr>
                  <a:t>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1845664"/>
        <c:crosses val="autoZero"/>
        <c:crossBetween val="midCat"/>
        <c:majorUnit val="50"/>
      </c:valAx>
      <c:valAx>
        <c:axId val="1081845664"/>
        <c:scaling>
          <c:orientation val="minMax"/>
          <c:max val="1.1250000000000003E-2"/>
          <c:min val="7.250000000000001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T</a:t>
                </a:r>
                <a:r>
                  <a:rPr lang="el-GR">
                    <a:solidFill>
                      <a:schemeClr val="tx1"/>
                    </a:solidFill>
                  </a:rPr>
                  <a:t>_</a:t>
                </a:r>
                <a:r>
                  <a:rPr lang="pt-BR">
                    <a:solidFill>
                      <a:schemeClr val="tx1"/>
                    </a:solidFill>
                  </a:rPr>
                  <a:t>perdas [Nm]</a:t>
                </a:r>
              </a:p>
            </c:rich>
          </c:tx>
          <c:layout>
            <c:manualLayout>
              <c:xMode val="edge"/>
              <c:yMode val="edge"/>
              <c:x val="1.8020461433273311E-2"/>
              <c:y val="0.30279315939618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604656"/>
        <c:crosses val="autoZero"/>
        <c:crossBetween val="midCat"/>
        <c:majorUnit val="2.5000000000000011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frequenciaxtensao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635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>
                    <a:lumMod val="95000"/>
                    <a:lumOff val="5000"/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('LM2917M-8'!$R$7:$R$21,'LM2917M-8'!$U$7:$U$21,'LM2917M-8'!$X$7:$X$21)</c:f>
              <c:numCache>
                <c:formatCode>General</c:formatCode>
                <c:ptCount val="45"/>
                <c:pt idx="0">
                  <c:v>200</c:v>
                </c:pt>
                <c:pt idx="1">
                  <c:v>600</c:v>
                </c:pt>
                <c:pt idx="2">
                  <c:v>1000</c:v>
                </c:pt>
                <c:pt idx="3">
                  <c:v>1400</c:v>
                </c:pt>
                <c:pt idx="4">
                  <c:v>1800</c:v>
                </c:pt>
                <c:pt idx="5">
                  <c:v>2200</c:v>
                </c:pt>
                <c:pt idx="6">
                  <c:v>2600</c:v>
                </c:pt>
                <c:pt idx="7">
                  <c:v>3000</c:v>
                </c:pt>
                <c:pt idx="8">
                  <c:v>3400</c:v>
                </c:pt>
                <c:pt idx="9">
                  <c:v>3800</c:v>
                </c:pt>
                <c:pt idx="10">
                  <c:v>4200</c:v>
                </c:pt>
                <c:pt idx="11">
                  <c:v>4600</c:v>
                </c:pt>
                <c:pt idx="12">
                  <c:v>5000</c:v>
                </c:pt>
                <c:pt idx="13">
                  <c:v>5400</c:v>
                </c:pt>
                <c:pt idx="14">
                  <c:v>5800</c:v>
                </c:pt>
                <c:pt idx="15">
                  <c:v>6200</c:v>
                </c:pt>
                <c:pt idx="16">
                  <c:v>6600</c:v>
                </c:pt>
                <c:pt idx="17">
                  <c:v>7000</c:v>
                </c:pt>
                <c:pt idx="18">
                  <c:v>7400</c:v>
                </c:pt>
                <c:pt idx="19">
                  <c:v>7800</c:v>
                </c:pt>
                <c:pt idx="20">
                  <c:v>8200</c:v>
                </c:pt>
                <c:pt idx="21">
                  <c:v>8600</c:v>
                </c:pt>
                <c:pt idx="22">
                  <c:v>9000</c:v>
                </c:pt>
                <c:pt idx="23">
                  <c:v>9400</c:v>
                </c:pt>
                <c:pt idx="24">
                  <c:v>10000</c:v>
                </c:pt>
                <c:pt idx="25">
                  <c:v>10500</c:v>
                </c:pt>
                <c:pt idx="26">
                  <c:v>11000</c:v>
                </c:pt>
                <c:pt idx="27">
                  <c:v>11500</c:v>
                </c:pt>
                <c:pt idx="28">
                  <c:v>12000</c:v>
                </c:pt>
                <c:pt idx="29">
                  <c:v>12500</c:v>
                </c:pt>
                <c:pt idx="30">
                  <c:v>13000</c:v>
                </c:pt>
                <c:pt idx="31">
                  <c:v>13500</c:v>
                </c:pt>
                <c:pt idx="32">
                  <c:v>14000</c:v>
                </c:pt>
                <c:pt idx="33">
                  <c:v>14500</c:v>
                </c:pt>
                <c:pt idx="34">
                  <c:v>15000</c:v>
                </c:pt>
                <c:pt idx="35">
                  <c:v>15500</c:v>
                </c:pt>
                <c:pt idx="36">
                  <c:v>16000</c:v>
                </c:pt>
                <c:pt idx="37">
                  <c:v>16500</c:v>
                </c:pt>
                <c:pt idx="38">
                  <c:v>17000</c:v>
                </c:pt>
                <c:pt idx="39">
                  <c:v>17500</c:v>
                </c:pt>
                <c:pt idx="40">
                  <c:v>18000</c:v>
                </c:pt>
                <c:pt idx="41">
                  <c:v>18500</c:v>
                </c:pt>
                <c:pt idx="42">
                  <c:v>19000</c:v>
                </c:pt>
                <c:pt idx="43">
                  <c:v>19500</c:v>
                </c:pt>
                <c:pt idx="44">
                  <c:v>20000</c:v>
                </c:pt>
              </c:numCache>
            </c:numRef>
          </c:xVal>
          <c:yVal>
            <c:numRef>
              <c:f>('LM2917M-8'!$S$7:$S$21,'LM2917M-8'!$V$7:$V$21,'LM2917M-8'!$Y$7:$Y$21)</c:f>
              <c:numCache>
                <c:formatCode>General</c:formatCode>
                <c:ptCount val="45"/>
                <c:pt idx="0">
                  <c:v>4.6300000000000001E-2</c:v>
                </c:pt>
                <c:pt idx="1">
                  <c:v>0.13619999999999999</c:v>
                </c:pt>
                <c:pt idx="2">
                  <c:v>0.22589999999999999</c:v>
                </c:pt>
                <c:pt idx="3">
                  <c:v>0.3145</c:v>
                </c:pt>
                <c:pt idx="4">
                  <c:v>0.40360000000000001</c:v>
                </c:pt>
                <c:pt idx="5">
                  <c:v>0.4919</c:v>
                </c:pt>
                <c:pt idx="6">
                  <c:v>0.58050000000000002</c:v>
                </c:pt>
                <c:pt idx="7">
                  <c:v>0.66800000000000004</c:v>
                </c:pt>
                <c:pt idx="8">
                  <c:v>0.75600000000000001</c:v>
                </c:pt>
                <c:pt idx="9">
                  <c:v>0.84399999999999997</c:v>
                </c:pt>
                <c:pt idx="10">
                  <c:v>0.93200000000000005</c:v>
                </c:pt>
                <c:pt idx="11">
                  <c:v>1.0189999999999999</c:v>
                </c:pt>
                <c:pt idx="12">
                  <c:v>1.107</c:v>
                </c:pt>
                <c:pt idx="13">
                  <c:v>1.194</c:v>
                </c:pt>
                <c:pt idx="14">
                  <c:v>1.2809999999999999</c:v>
                </c:pt>
                <c:pt idx="15">
                  <c:v>1.3680000000000001</c:v>
                </c:pt>
                <c:pt idx="16">
                  <c:v>1.4550000000000001</c:v>
                </c:pt>
                <c:pt idx="17">
                  <c:v>1.542</c:v>
                </c:pt>
                <c:pt idx="18">
                  <c:v>1.625</c:v>
                </c:pt>
                <c:pt idx="19">
                  <c:v>1.716</c:v>
                </c:pt>
                <c:pt idx="20">
                  <c:v>1.8029999999999999</c:v>
                </c:pt>
                <c:pt idx="21">
                  <c:v>1.89</c:v>
                </c:pt>
                <c:pt idx="22">
                  <c:v>1.978</c:v>
                </c:pt>
                <c:pt idx="23">
                  <c:v>2.0649999999999999</c:v>
                </c:pt>
                <c:pt idx="24">
                  <c:v>2.1949999999999998</c:v>
                </c:pt>
                <c:pt idx="25">
                  <c:v>2.3039999999999998</c:v>
                </c:pt>
                <c:pt idx="26">
                  <c:v>2.4119999999999999</c:v>
                </c:pt>
                <c:pt idx="27">
                  <c:v>2.5209999999999999</c:v>
                </c:pt>
                <c:pt idx="28">
                  <c:v>2.629</c:v>
                </c:pt>
                <c:pt idx="29">
                  <c:v>2.7370000000000001</c:v>
                </c:pt>
                <c:pt idx="30">
                  <c:v>2.8450000000000002</c:v>
                </c:pt>
                <c:pt idx="31">
                  <c:v>2.9529999999999998</c:v>
                </c:pt>
                <c:pt idx="32">
                  <c:v>3.0619999999999998</c:v>
                </c:pt>
                <c:pt idx="33">
                  <c:v>3.17</c:v>
                </c:pt>
                <c:pt idx="34">
                  <c:v>3.2789999999999999</c:v>
                </c:pt>
                <c:pt idx="35">
                  <c:v>3.387</c:v>
                </c:pt>
                <c:pt idx="36">
                  <c:v>3.4950000000000001</c:v>
                </c:pt>
                <c:pt idx="37">
                  <c:v>3.6030000000000002</c:v>
                </c:pt>
                <c:pt idx="38">
                  <c:v>3.7120000000000002</c:v>
                </c:pt>
                <c:pt idx="39">
                  <c:v>3.819</c:v>
                </c:pt>
                <c:pt idx="40">
                  <c:v>3.927</c:v>
                </c:pt>
                <c:pt idx="41">
                  <c:v>4.0359999999999996</c:v>
                </c:pt>
                <c:pt idx="42">
                  <c:v>4.1440000000000001</c:v>
                </c:pt>
                <c:pt idx="43">
                  <c:v>4.2519999999999998</c:v>
                </c:pt>
                <c:pt idx="44">
                  <c:v>4.3369999999999997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CE-426C-9786-7AC7AB87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04384"/>
        <c:axId val="664297328"/>
      </c:scatterChart>
      <c:valAx>
        <c:axId val="1047704384"/>
        <c:scaling>
          <c:orientation val="minMax"/>
          <c:max val="2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Frequência</a:t>
                </a:r>
                <a:r>
                  <a:rPr lang="pt-BR" baseline="0">
                    <a:solidFill>
                      <a:schemeClr val="tx1"/>
                    </a:solidFill>
                  </a:rPr>
                  <a:t> [Hz]</a:t>
                </a:r>
                <a:endParaRPr lang="pt-B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297328"/>
        <c:crosses val="autoZero"/>
        <c:crossBetween val="midCat"/>
        <c:majorUnit val="1500"/>
      </c:valAx>
      <c:valAx>
        <c:axId val="664297328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>
                    <a:solidFill>
                      <a:schemeClr val="tx1"/>
                    </a:solidFill>
                  </a:rPr>
                  <a:t>Tensão [V]</a:t>
                </a:r>
                <a:endParaRPr lang="pt-B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70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1nF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'SG3525'!$D$4:$D$6</c:f>
              <c:numCache>
                <c:formatCode>General</c:formatCode>
                <c:ptCount val="3"/>
                <c:pt idx="0">
                  <c:v>1.9758</c:v>
                </c:pt>
                <c:pt idx="1">
                  <c:v>18.936</c:v>
                </c:pt>
                <c:pt idx="2">
                  <c:v>151.24</c:v>
                </c:pt>
              </c:numCache>
            </c:numRef>
          </c:xVal>
          <c:yVal>
            <c:numRef>
              <c:f>'SG3525'!$C$4:$C$6</c:f>
              <c:numCache>
                <c:formatCode>General</c:formatCode>
                <c:ptCount val="3"/>
                <c:pt idx="0">
                  <c:v>2.0644999999999998</c:v>
                </c:pt>
                <c:pt idx="1">
                  <c:v>16.228000000000002</c:v>
                </c:pt>
                <c:pt idx="2">
                  <c:v>108.86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A-40CD-99A0-8718CA69CC38}"/>
            </c:ext>
          </c:extLst>
        </c:ser>
        <c:ser>
          <c:idx val="1"/>
          <c:order val="1"/>
          <c:tx>
            <c:v>2nF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'SG3525'!$G$4:$G$6</c:f>
              <c:numCache>
                <c:formatCode>General</c:formatCode>
                <c:ptCount val="3"/>
                <c:pt idx="0">
                  <c:v>2</c:v>
                </c:pt>
                <c:pt idx="1">
                  <c:v>17.604399999999998</c:v>
                </c:pt>
                <c:pt idx="2">
                  <c:v>151.23699999999999</c:v>
                </c:pt>
              </c:numCache>
            </c:numRef>
          </c:xVal>
          <c:yVal>
            <c:numRef>
              <c:f>'SG3525'!$F$4:$F$6</c:f>
              <c:numCache>
                <c:formatCode>General</c:formatCode>
                <c:ptCount val="3"/>
                <c:pt idx="0">
                  <c:v>3.4294899999999999</c:v>
                </c:pt>
                <c:pt idx="1">
                  <c:v>29.183499999999999</c:v>
                </c:pt>
                <c:pt idx="2">
                  <c:v>244.43199999999999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A-40CD-99A0-8718CA69CC38}"/>
            </c:ext>
          </c:extLst>
        </c:ser>
        <c:ser>
          <c:idx val="2"/>
          <c:order val="2"/>
          <c:tx>
            <c:v>5nF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'SG3525'!$J$4:$J$6</c:f>
              <c:numCache>
                <c:formatCode>General</c:formatCode>
                <c:ptCount val="3"/>
                <c:pt idx="0">
                  <c:v>2</c:v>
                </c:pt>
                <c:pt idx="1">
                  <c:v>19.167300000000001</c:v>
                </c:pt>
                <c:pt idx="2">
                  <c:v>151.23699999999999</c:v>
                </c:pt>
              </c:numCache>
            </c:numRef>
          </c:xVal>
          <c:yVal>
            <c:numRef>
              <c:f>'SG3525'!$I$4:$I$6</c:f>
              <c:numCache>
                <c:formatCode>General</c:formatCode>
                <c:ptCount val="3"/>
                <c:pt idx="0">
                  <c:v>7.8237699999999997</c:v>
                </c:pt>
                <c:pt idx="1">
                  <c:v>66.577100000000002</c:v>
                </c:pt>
                <c:pt idx="2">
                  <c:v>468.35500000000002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A-40CD-99A0-8718CA69CC38}"/>
            </c:ext>
          </c:extLst>
        </c:ser>
        <c:ser>
          <c:idx val="3"/>
          <c:order val="3"/>
          <c:tx>
            <c:v>0,01uF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'SG3525'!$M$4:$M$6</c:f>
              <c:numCache>
                <c:formatCode>General</c:formatCode>
                <c:ptCount val="3"/>
                <c:pt idx="0">
                  <c:v>1.9758500000000001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'SG3525'!$L$4:$L$6</c:f>
              <c:numCache>
                <c:formatCode>General</c:formatCode>
                <c:ptCount val="3"/>
                <c:pt idx="0">
                  <c:v>16.228300000000001</c:v>
                </c:pt>
                <c:pt idx="1">
                  <c:v>125.56100000000001</c:v>
                </c:pt>
                <c:pt idx="2">
                  <c:v>1138.45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FA-40CD-99A0-8718CA69CC38}"/>
            </c:ext>
          </c:extLst>
        </c:ser>
        <c:ser>
          <c:idx val="4"/>
          <c:order val="4"/>
          <c:tx>
            <c:v>0,02uF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'SG3525'!$P$4:$P$6</c:f>
              <c:numCache>
                <c:formatCode>General</c:formatCode>
                <c:ptCount val="3"/>
                <c:pt idx="0">
                  <c:v>2</c:v>
                </c:pt>
                <c:pt idx="1">
                  <c:v>18.037400000000002</c:v>
                </c:pt>
                <c:pt idx="2">
                  <c:v>149.41</c:v>
                </c:pt>
              </c:numCache>
            </c:numRef>
          </c:xVal>
          <c:yVal>
            <c:numRef>
              <c:f>'SG3525'!$O$4:$O$6</c:f>
              <c:numCache>
                <c:formatCode>General</c:formatCode>
                <c:ptCount val="3"/>
                <c:pt idx="0">
                  <c:v>33.131700000000002</c:v>
                </c:pt>
                <c:pt idx="1">
                  <c:v>295.67700000000002</c:v>
                </c:pt>
                <c:pt idx="2">
                  <c:v>2437.5300000000002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FA-40CD-99A0-8718CA69CC38}"/>
            </c:ext>
          </c:extLst>
        </c:ser>
        <c:ser>
          <c:idx val="6"/>
          <c:order val="5"/>
          <c:tx>
            <c:v>0,05uF</c:v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'SG3525'!$S$4:$S$6</c:f>
              <c:numCache>
                <c:formatCode>General</c:formatCode>
                <c:ptCount val="3"/>
                <c:pt idx="0">
                  <c:v>2</c:v>
                </c:pt>
                <c:pt idx="1">
                  <c:v>19.6388</c:v>
                </c:pt>
                <c:pt idx="2">
                  <c:v>151.23699999999999</c:v>
                </c:pt>
              </c:numCache>
            </c:numRef>
          </c:xVal>
          <c:yVal>
            <c:numRef>
              <c:f>'SG3525'!$R$4:$R$6</c:f>
              <c:numCache>
                <c:formatCode>General</c:formatCode>
                <c:ptCount val="3"/>
                <c:pt idx="0">
                  <c:v>72.071899999999999</c:v>
                </c:pt>
                <c:pt idx="1">
                  <c:v>707.40599999999995</c:v>
                </c:pt>
                <c:pt idx="2">
                  <c:v>5473.28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5-4876-9ABD-9DBDF3D9D464}"/>
            </c:ext>
          </c:extLst>
        </c:ser>
        <c:ser>
          <c:idx val="7"/>
          <c:order val="6"/>
          <c:tx>
            <c:v>0,1uF</c:v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'SG3525'!$V$4:$V$6</c:f>
              <c:numCache>
                <c:formatCode>General</c:formatCode>
                <c:ptCount val="3"/>
                <c:pt idx="0">
                  <c:v>2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'SG3525'!$U$4:$U$6</c:f>
              <c:numCache>
                <c:formatCode>General</c:formatCode>
                <c:ptCount val="3"/>
                <c:pt idx="0">
                  <c:v>154.31200000000001</c:v>
                </c:pt>
                <c:pt idx="1">
                  <c:v>1156.6500000000001</c:v>
                </c:pt>
                <c:pt idx="2">
                  <c:v>10159.9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5-4876-9ABD-9DBDF3D9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903568"/>
        <c:axId val="1201900208"/>
      </c:scatterChart>
      <c:valAx>
        <c:axId val="1201903568"/>
        <c:scaling>
          <c:logBase val="10"/>
          <c:orientation val="minMax"/>
          <c:max val="20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0208"/>
        <c:crosses val="autoZero"/>
        <c:crossBetween val="midCat"/>
      </c:valAx>
      <c:valAx>
        <c:axId val="1201900208"/>
        <c:scaling>
          <c:logBase val="10"/>
          <c:orientation val="minMax"/>
          <c:max val="15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3568"/>
        <c:crossesAt val="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1nF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'SG3525'!$D$4:$D$6</c:f>
              <c:numCache>
                <c:formatCode>General</c:formatCode>
                <c:ptCount val="3"/>
                <c:pt idx="0">
                  <c:v>1.9758</c:v>
                </c:pt>
                <c:pt idx="1">
                  <c:v>18.936</c:v>
                </c:pt>
                <c:pt idx="2">
                  <c:v>151.24</c:v>
                </c:pt>
              </c:numCache>
            </c:numRef>
          </c:xVal>
          <c:yVal>
            <c:numRef>
              <c:f>'SG3525'!$E$4:$E$6</c:f>
              <c:numCache>
                <c:formatCode>General</c:formatCode>
                <c:ptCount val="3"/>
                <c:pt idx="0">
                  <c:v>2064.4999999999995</c:v>
                </c:pt>
                <c:pt idx="1">
                  <c:v>16228</c:v>
                </c:pt>
                <c:pt idx="2">
                  <c:v>108859.99999999999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F-42EC-AE39-856360394C5E}"/>
            </c:ext>
          </c:extLst>
        </c:ser>
        <c:ser>
          <c:idx val="1"/>
          <c:order val="1"/>
          <c:tx>
            <c:v>2nF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'SG3525'!$G$4:$G$6</c:f>
              <c:numCache>
                <c:formatCode>General</c:formatCode>
                <c:ptCount val="3"/>
                <c:pt idx="0">
                  <c:v>2</c:v>
                </c:pt>
                <c:pt idx="1">
                  <c:v>17.604399999999998</c:v>
                </c:pt>
                <c:pt idx="2">
                  <c:v>151.23699999999999</c:v>
                </c:pt>
              </c:numCache>
            </c:numRef>
          </c:xVal>
          <c:yVal>
            <c:numRef>
              <c:f>'SG3525'!$H$4:$H$6</c:f>
              <c:numCache>
                <c:formatCode>General</c:formatCode>
                <c:ptCount val="3"/>
                <c:pt idx="0">
                  <c:v>1714.7449999999997</c:v>
                </c:pt>
                <c:pt idx="1">
                  <c:v>14591.749999999996</c:v>
                </c:pt>
                <c:pt idx="2">
                  <c:v>122215.99999999999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F-42EC-AE39-856360394C5E}"/>
            </c:ext>
          </c:extLst>
        </c:ser>
        <c:ser>
          <c:idx val="2"/>
          <c:order val="2"/>
          <c:tx>
            <c:v>5nF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'SG3525'!$J$4:$J$6</c:f>
              <c:numCache>
                <c:formatCode>General</c:formatCode>
                <c:ptCount val="3"/>
                <c:pt idx="0">
                  <c:v>2</c:v>
                </c:pt>
                <c:pt idx="1">
                  <c:v>19.167300000000001</c:v>
                </c:pt>
                <c:pt idx="2">
                  <c:v>151.23699999999999</c:v>
                </c:pt>
              </c:numCache>
            </c:numRef>
          </c:xVal>
          <c:yVal>
            <c:numRef>
              <c:f>'SG3525'!$K$4:$K$6</c:f>
              <c:numCache>
                <c:formatCode>General</c:formatCode>
                <c:ptCount val="3"/>
                <c:pt idx="0">
                  <c:v>1564.7539999999999</c:v>
                </c:pt>
                <c:pt idx="1">
                  <c:v>13315.42</c:v>
                </c:pt>
                <c:pt idx="2">
                  <c:v>93671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BF-42EC-AE39-856360394C5E}"/>
            </c:ext>
          </c:extLst>
        </c:ser>
        <c:ser>
          <c:idx val="3"/>
          <c:order val="3"/>
          <c:tx>
            <c:v>0,01uF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'SG3525'!$M$4:$M$6</c:f>
              <c:numCache>
                <c:formatCode>General</c:formatCode>
                <c:ptCount val="3"/>
                <c:pt idx="0">
                  <c:v>1.9758500000000001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'SG3525'!$N$4:$N$6</c:f>
              <c:numCache>
                <c:formatCode>General</c:formatCode>
                <c:ptCount val="3"/>
                <c:pt idx="0">
                  <c:v>1622.8299999999997</c:v>
                </c:pt>
                <c:pt idx="1">
                  <c:v>12556.1</c:v>
                </c:pt>
                <c:pt idx="2">
                  <c:v>113845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BF-42EC-AE39-856360394C5E}"/>
            </c:ext>
          </c:extLst>
        </c:ser>
        <c:ser>
          <c:idx val="4"/>
          <c:order val="4"/>
          <c:tx>
            <c:v>0,02uF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'SG3525'!$P$4:$P$6</c:f>
              <c:numCache>
                <c:formatCode>General</c:formatCode>
                <c:ptCount val="3"/>
                <c:pt idx="0">
                  <c:v>2</c:v>
                </c:pt>
                <c:pt idx="1">
                  <c:v>18.037400000000002</c:v>
                </c:pt>
                <c:pt idx="2">
                  <c:v>149.41</c:v>
                </c:pt>
              </c:numCache>
            </c:numRef>
          </c:xVal>
          <c:yVal>
            <c:numRef>
              <c:f>'SG3525'!$Q$4:$Q$6</c:f>
              <c:numCache>
                <c:formatCode>General</c:formatCode>
                <c:ptCount val="3"/>
                <c:pt idx="0">
                  <c:v>1656.585</c:v>
                </c:pt>
                <c:pt idx="1">
                  <c:v>14783.849999999999</c:v>
                </c:pt>
                <c:pt idx="2">
                  <c:v>121876.50000000001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BF-42EC-AE39-856360394C5E}"/>
            </c:ext>
          </c:extLst>
        </c:ser>
        <c:ser>
          <c:idx val="6"/>
          <c:order val="5"/>
          <c:tx>
            <c:v>0,05uF</c:v>
          </c:tx>
          <c:spPr>
            <a:ln w="19050" cap="rnd">
              <a:solidFill>
                <a:srgbClr val="E50DA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'SG3525'!$S$4:$S$6</c:f>
              <c:numCache>
                <c:formatCode>General</c:formatCode>
                <c:ptCount val="3"/>
                <c:pt idx="0">
                  <c:v>2</c:v>
                </c:pt>
                <c:pt idx="1">
                  <c:v>19.6388</c:v>
                </c:pt>
                <c:pt idx="2">
                  <c:v>151.23699999999999</c:v>
                </c:pt>
              </c:numCache>
            </c:numRef>
          </c:xVal>
          <c:yVal>
            <c:numRef>
              <c:f>'SG3525'!$T$4:$T$6</c:f>
              <c:numCache>
                <c:formatCode>General</c:formatCode>
                <c:ptCount val="3"/>
                <c:pt idx="0">
                  <c:v>1441.4379999999999</c:v>
                </c:pt>
                <c:pt idx="1">
                  <c:v>14148.119999999999</c:v>
                </c:pt>
                <c:pt idx="2">
                  <c:v>109465.59999999999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BF-42EC-AE39-856360394C5E}"/>
            </c:ext>
          </c:extLst>
        </c:ser>
        <c:ser>
          <c:idx val="7"/>
          <c:order val="6"/>
          <c:tx>
            <c:v>0,1uF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'SG3525'!$V$4:$V$6</c:f>
              <c:numCache>
                <c:formatCode>General</c:formatCode>
                <c:ptCount val="3"/>
                <c:pt idx="0">
                  <c:v>2</c:v>
                </c:pt>
                <c:pt idx="1">
                  <c:v>15.973699999999999</c:v>
                </c:pt>
                <c:pt idx="2">
                  <c:v>151.23699999999999</c:v>
                </c:pt>
              </c:numCache>
            </c:numRef>
          </c:xVal>
          <c:yVal>
            <c:numRef>
              <c:f>'SG3525'!$W$4:$W$6</c:f>
              <c:numCache>
                <c:formatCode>General</c:formatCode>
                <c:ptCount val="3"/>
                <c:pt idx="0">
                  <c:v>1543.1200000000001</c:v>
                </c:pt>
                <c:pt idx="1">
                  <c:v>11566.5</c:v>
                </c:pt>
                <c:pt idx="2">
                  <c:v>101599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BF-42EC-AE39-85636039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903568"/>
        <c:axId val="1201900208"/>
      </c:scatterChart>
      <c:valAx>
        <c:axId val="1201903568"/>
        <c:scaling>
          <c:logBase val="10"/>
          <c:orientation val="minMax"/>
          <c:max val="20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RT [k</a:t>
                </a:r>
                <a:r>
                  <a:rPr lang="el-GR"/>
                  <a:t>Ω]</a:t>
                </a:r>
                <a:r>
                  <a:rPr lang="pt-BR" baseline="0"/>
                  <a:t>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0208"/>
        <c:crosses val="autoZero"/>
        <c:crossBetween val="midCat"/>
      </c:valAx>
      <c:valAx>
        <c:axId val="1201900208"/>
        <c:scaling>
          <c:logBase val="10"/>
          <c:orientation val="minMax"/>
          <c:max val="2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t/CT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190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99762475880496"/>
          <c:y val="0.38631702005308649"/>
          <c:w val="0.12852049624440381"/>
          <c:h val="0.406161908340814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Jm!$F$4:$F$124</c:f>
              <c:numCache>
                <c:formatCode>General</c:formatCode>
                <c:ptCount val="121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0.13333333333333333</c:v>
                </c:pt>
                <c:pt idx="5">
                  <c:v>0.16666666666666666</c:v>
                </c:pt>
                <c:pt idx="6">
                  <c:v>0.19999999999999998</c:v>
                </c:pt>
                <c:pt idx="7">
                  <c:v>0.23333333333333331</c:v>
                </c:pt>
                <c:pt idx="8">
                  <c:v>0.26666666666666666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0.36666666666666664</c:v>
                </c:pt>
                <c:pt idx="12">
                  <c:v>0.39999999999999997</c:v>
                </c:pt>
                <c:pt idx="13">
                  <c:v>0.43333333333333329</c:v>
                </c:pt>
                <c:pt idx="14">
                  <c:v>0.46666666666666662</c:v>
                </c:pt>
                <c:pt idx="15">
                  <c:v>0.49999999999999994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0.79999999999999993</c:v>
                </c:pt>
                <c:pt idx="25">
                  <c:v>0.83333333333333326</c:v>
                </c:pt>
                <c:pt idx="26">
                  <c:v>0.86666666666666659</c:v>
                </c:pt>
                <c:pt idx="27">
                  <c:v>0.89999999999999991</c:v>
                </c:pt>
                <c:pt idx="28">
                  <c:v>0.93333333333333324</c:v>
                </c:pt>
                <c:pt idx="29">
                  <c:v>0.96666666666666656</c:v>
                </c:pt>
                <c:pt idx="30">
                  <c:v>0.99999999999999989</c:v>
                </c:pt>
                <c:pt idx="31">
                  <c:v>1.0333333333333332</c:v>
                </c:pt>
                <c:pt idx="32">
                  <c:v>1.0666666666666667</c:v>
                </c:pt>
                <c:pt idx="33">
                  <c:v>1.1000000000000001</c:v>
                </c:pt>
                <c:pt idx="34">
                  <c:v>1.1333333333333335</c:v>
                </c:pt>
                <c:pt idx="35">
                  <c:v>1.166666666666667</c:v>
                </c:pt>
                <c:pt idx="36">
                  <c:v>1.2000000000000004</c:v>
                </c:pt>
                <c:pt idx="37">
                  <c:v>1.2333333333333338</c:v>
                </c:pt>
                <c:pt idx="38">
                  <c:v>1.2666666666666673</c:v>
                </c:pt>
                <c:pt idx="39">
                  <c:v>1.3000000000000007</c:v>
                </c:pt>
                <c:pt idx="40">
                  <c:v>1.3333333333333341</c:v>
                </c:pt>
                <c:pt idx="41">
                  <c:v>1.3666666666666676</c:v>
                </c:pt>
                <c:pt idx="42">
                  <c:v>1.400000000000001</c:v>
                </c:pt>
                <c:pt idx="43">
                  <c:v>1.4333333333333345</c:v>
                </c:pt>
                <c:pt idx="44">
                  <c:v>1.4666666666666679</c:v>
                </c:pt>
                <c:pt idx="45">
                  <c:v>1.5000000000000013</c:v>
                </c:pt>
                <c:pt idx="46">
                  <c:v>1.5333333333333348</c:v>
                </c:pt>
                <c:pt idx="47">
                  <c:v>1.5666666666666682</c:v>
                </c:pt>
                <c:pt idx="48">
                  <c:v>1.6000000000000016</c:v>
                </c:pt>
                <c:pt idx="49">
                  <c:v>1.6333333333333351</c:v>
                </c:pt>
                <c:pt idx="50">
                  <c:v>1.6666666666666685</c:v>
                </c:pt>
                <c:pt idx="51">
                  <c:v>1.700000000000002</c:v>
                </c:pt>
                <c:pt idx="52">
                  <c:v>1.7333333333333354</c:v>
                </c:pt>
                <c:pt idx="53">
                  <c:v>1.7666666666666688</c:v>
                </c:pt>
                <c:pt idx="54">
                  <c:v>1.8000000000000023</c:v>
                </c:pt>
                <c:pt idx="55">
                  <c:v>1.8333333333333357</c:v>
                </c:pt>
                <c:pt idx="56">
                  <c:v>1.8666666666666691</c:v>
                </c:pt>
                <c:pt idx="57">
                  <c:v>1.9000000000000026</c:v>
                </c:pt>
                <c:pt idx="58">
                  <c:v>1.933333333333336</c:v>
                </c:pt>
                <c:pt idx="59">
                  <c:v>1.9666666666666694</c:v>
                </c:pt>
                <c:pt idx="60">
                  <c:v>2.0000000000000027</c:v>
                </c:pt>
                <c:pt idx="61">
                  <c:v>2.0333333333333359</c:v>
                </c:pt>
                <c:pt idx="62">
                  <c:v>2.0666666666666691</c:v>
                </c:pt>
                <c:pt idx="63">
                  <c:v>2.1000000000000023</c:v>
                </c:pt>
                <c:pt idx="64">
                  <c:v>2.1333333333333355</c:v>
                </c:pt>
                <c:pt idx="65">
                  <c:v>2.1666666666666687</c:v>
                </c:pt>
                <c:pt idx="66">
                  <c:v>2.200000000000002</c:v>
                </c:pt>
                <c:pt idx="67">
                  <c:v>2.2333333333333352</c:v>
                </c:pt>
                <c:pt idx="68">
                  <c:v>2.2666666666666684</c:v>
                </c:pt>
                <c:pt idx="69">
                  <c:v>2.3000000000000016</c:v>
                </c:pt>
                <c:pt idx="70">
                  <c:v>2.3333333333333348</c:v>
                </c:pt>
                <c:pt idx="71">
                  <c:v>2.366666666666668</c:v>
                </c:pt>
                <c:pt idx="72">
                  <c:v>2.4000000000000012</c:v>
                </c:pt>
                <c:pt idx="73">
                  <c:v>2.4333333333333345</c:v>
                </c:pt>
                <c:pt idx="74">
                  <c:v>2.4666666666666677</c:v>
                </c:pt>
                <c:pt idx="75">
                  <c:v>2.5000000000000009</c:v>
                </c:pt>
                <c:pt idx="76">
                  <c:v>2.5333333333333341</c:v>
                </c:pt>
                <c:pt idx="77">
                  <c:v>2.5666666666666673</c:v>
                </c:pt>
                <c:pt idx="78">
                  <c:v>2.6000000000000005</c:v>
                </c:pt>
                <c:pt idx="79">
                  <c:v>2.6333333333333337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2.7333333333333334</c:v>
                </c:pt>
                <c:pt idx="83">
                  <c:v>2.7666666666666666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2.8666666666666663</c:v>
                </c:pt>
                <c:pt idx="87">
                  <c:v>2.8999999999999995</c:v>
                </c:pt>
                <c:pt idx="88">
                  <c:v>2.9333333333333327</c:v>
                </c:pt>
                <c:pt idx="89">
                  <c:v>2.9666666666666659</c:v>
                </c:pt>
                <c:pt idx="90">
                  <c:v>2.9999999999999991</c:v>
                </c:pt>
                <c:pt idx="91">
                  <c:v>3.0333333333333323</c:v>
                </c:pt>
                <c:pt idx="92">
                  <c:v>3.0666666666666655</c:v>
                </c:pt>
                <c:pt idx="93">
                  <c:v>3.0999999999999988</c:v>
                </c:pt>
                <c:pt idx="94">
                  <c:v>3.133333333333332</c:v>
                </c:pt>
                <c:pt idx="95">
                  <c:v>3.1666666666666652</c:v>
                </c:pt>
                <c:pt idx="96">
                  <c:v>3.1999999999999984</c:v>
                </c:pt>
                <c:pt idx="97">
                  <c:v>3.2333333333333316</c:v>
                </c:pt>
                <c:pt idx="98">
                  <c:v>3.2666666666666648</c:v>
                </c:pt>
                <c:pt idx="99">
                  <c:v>3.299999999999998</c:v>
                </c:pt>
                <c:pt idx="100">
                  <c:v>3.3333333333333313</c:v>
                </c:pt>
                <c:pt idx="101">
                  <c:v>3.3666666666666645</c:v>
                </c:pt>
                <c:pt idx="102">
                  <c:v>3.3999999999999977</c:v>
                </c:pt>
                <c:pt idx="103">
                  <c:v>3.4333333333333309</c:v>
                </c:pt>
                <c:pt idx="104">
                  <c:v>3.4666666666666641</c:v>
                </c:pt>
                <c:pt idx="105">
                  <c:v>3.4999999999999973</c:v>
                </c:pt>
                <c:pt idx="106">
                  <c:v>3.5333333333333306</c:v>
                </c:pt>
                <c:pt idx="107">
                  <c:v>3.5666666666666638</c:v>
                </c:pt>
                <c:pt idx="108">
                  <c:v>3.599999999999997</c:v>
                </c:pt>
                <c:pt idx="109">
                  <c:v>3.6333333333333302</c:v>
                </c:pt>
                <c:pt idx="110">
                  <c:v>3.6666666666666634</c:v>
                </c:pt>
                <c:pt idx="111">
                  <c:v>3.6999999999999966</c:v>
                </c:pt>
                <c:pt idx="112">
                  <c:v>3.7333333333333298</c:v>
                </c:pt>
                <c:pt idx="113">
                  <c:v>3.7666666666666631</c:v>
                </c:pt>
                <c:pt idx="114">
                  <c:v>3.7999999999999963</c:v>
                </c:pt>
                <c:pt idx="115">
                  <c:v>3.8333333333333295</c:v>
                </c:pt>
                <c:pt idx="116">
                  <c:v>3.8666666666666627</c:v>
                </c:pt>
                <c:pt idx="117">
                  <c:v>3.8999999999999959</c:v>
                </c:pt>
                <c:pt idx="118">
                  <c:v>3.9333333333333291</c:v>
                </c:pt>
                <c:pt idx="119">
                  <c:v>3.9666666666666623</c:v>
                </c:pt>
                <c:pt idx="120">
                  <c:v>3.9999999999999956</c:v>
                </c:pt>
              </c:numCache>
            </c:numRef>
          </c:xVal>
          <c:yVal>
            <c:numRef>
              <c:f>Jm!$H$4:$H$124</c:f>
              <c:numCache>
                <c:formatCode>General</c:formatCode>
                <c:ptCount val="121"/>
                <c:pt idx="0">
                  <c:v>12000</c:v>
                </c:pt>
                <c:pt idx="1">
                  <c:v>11999.999999999998</c:v>
                </c:pt>
                <c:pt idx="2">
                  <c:v>11999.999999999998</c:v>
                </c:pt>
                <c:pt idx="3">
                  <c:v>11999.999999999998</c:v>
                </c:pt>
                <c:pt idx="4">
                  <c:v>11999.999999999998</c:v>
                </c:pt>
                <c:pt idx="5">
                  <c:v>11999.999999999998</c:v>
                </c:pt>
                <c:pt idx="6">
                  <c:v>11999.999999999998</c:v>
                </c:pt>
                <c:pt idx="7">
                  <c:v>11999.999999999998</c:v>
                </c:pt>
                <c:pt idx="8">
                  <c:v>11999.999999999998</c:v>
                </c:pt>
                <c:pt idx="9">
                  <c:v>11999.999999999998</c:v>
                </c:pt>
                <c:pt idx="10">
                  <c:v>11816.467006556562</c:v>
                </c:pt>
                <c:pt idx="11">
                  <c:v>11634.218188607036</c:v>
                </c:pt>
                <c:pt idx="12">
                  <c:v>11453.244560809508</c:v>
                </c:pt>
                <c:pt idx="13">
                  <c:v>11273.537200692252</c:v>
                </c:pt>
                <c:pt idx="14">
                  <c:v>11095.087248213853</c:v>
                </c:pt>
                <c:pt idx="15">
                  <c:v>10917.88590532637</c:v>
                </c:pt>
                <c:pt idx="16">
                  <c:v>10741.924435541563</c:v>
                </c:pt>
                <c:pt idx="17">
                  <c:v>10567.194163500173</c:v>
                </c:pt>
                <c:pt idx="18">
                  <c:v>10393.686474544202</c:v>
                </c:pt>
                <c:pt idx="19">
                  <c:v>10221.392814292183</c:v>
                </c:pt>
                <c:pt idx="20">
                  <c:v>10050.304688217431</c:v>
                </c:pt>
                <c:pt idx="21">
                  <c:v>9880.4136612292386</c:v>
                </c:pt>
                <c:pt idx="22">
                  <c:v>9711.7113572569997</c:v>
                </c:pt>
                <c:pt idx="23">
                  <c:v>9544.1894588372634</c:v>
                </c:pt>
                <c:pt idx="24">
                  <c:v>9377.8397067036367</c:v>
                </c:pt>
                <c:pt idx="25">
                  <c:v>9212.653899379613</c:v>
                </c:pt>
                <c:pt idx="26">
                  <c:v>9048.6238927741779</c:v>
                </c:pt>
                <c:pt idx="27">
                  <c:v>8885.7415997803218</c:v>
                </c:pt>
                <c:pt idx="28">
                  <c:v>8723.9989898763033</c:v>
                </c:pt>
                <c:pt idx="29">
                  <c:v>8563.3880887297328</c:v>
                </c:pt>
                <c:pt idx="30">
                  <c:v>8403.9009778044056</c:v>
                </c:pt>
                <c:pt idx="31">
                  <c:v>8245.529793969914</c:v>
                </c:pt>
                <c:pt idx="32">
                  <c:v>8088.2667291139487</c:v>
                </c:pt>
                <c:pt idx="33">
                  <c:v>7932.1040297573873</c:v>
                </c:pt>
                <c:pt idx="34">
                  <c:v>7777.0339966719566</c:v>
                </c:pt>
                <c:pt idx="35">
                  <c:v>7623.0489845007078</c:v>
                </c:pt>
                <c:pt idx="36">
                  <c:v>7470.1414013810463</c:v>
                </c:pt>
                <c:pt idx="37">
                  <c:v>7318.3037085704254</c:v>
                </c:pt>
                <c:pt idx="38">
                  <c:v>7167.5284200747037</c:v>
                </c:pt>
                <c:pt idx="39">
                  <c:v>7017.8081022790193</c:v>
                </c:pt>
                <c:pt idx="40">
                  <c:v>6869.1353735813291</c:v>
                </c:pt>
                <c:pt idx="41">
                  <c:v>6721.5029040284671</c:v>
                </c:pt>
                <c:pt idx="42">
                  <c:v>6574.9034149547442</c:v>
                </c:pt>
                <c:pt idx="43">
                  <c:v>6429.3296786231122</c:v>
                </c:pt>
                <c:pt idx="44">
                  <c:v>6284.7745178687983</c:v>
                </c:pt>
                <c:pt idx="45">
                  <c:v>6141.2308057454738</c:v>
                </c:pt>
                <c:pt idx="46">
                  <c:v>5998.6914651738543</c:v>
                </c:pt>
                <c:pt idx="47">
                  <c:v>5857.1494685927983</c:v>
                </c:pt>
                <c:pt idx="48">
                  <c:v>5716.5978376128105</c:v>
                </c:pt>
                <c:pt idx="49">
                  <c:v>5577.0296426720179</c:v>
                </c:pt>
                <c:pt idx="50">
                  <c:v>5438.43800269451</c:v>
                </c:pt>
                <c:pt idx="51">
                  <c:v>5300.8160847510644</c:v>
                </c:pt>
                <c:pt idx="52">
                  <c:v>5164.1571037222975</c:v>
                </c:pt>
                <c:pt idx="53">
                  <c:v>5028.4543219641228</c:v>
                </c:pt>
                <c:pt idx="54">
                  <c:v>4893.7010489755676</c:v>
                </c:pt>
                <c:pt idx="55">
                  <c:v>4759.8906410689251</c:v>
                </c:pt>
                <c:pt idx="56">
                  <c:v>4627.0165010421888</c:v>
                </c:pt>
                <c:pt idx="57">
                  <c:v>4495.0720778537989</c:v>
                </c:pt>
                <c:pt idx="58">
                  <c:v>4364.0508662996654</c:v>
                </c:pt>
                <c:pt idx="59">
                  <c:v>4233.9464066924374</c:v>
                </c:pt>
                <c:pt idx="60">
                  <c:v>4104.7522845430249</c:v>
                </c:pt>
                <c:pt idx="61">
                  <c:v>3976.462130244342</c:v>
                </c:pt>
                <c:pt idx="62">
                  <c:v>3849.0696187572867</c:v>
                </c:pt>
                <c:pt idx="63">
                  <c:v>3722.568469298878</c:v>
                </c:pt>
                <c:pt idx="64">
                  <c:v>3596.9524450326126</c:v>
                </c:pt>
                <c:pt idx="65">
                  <c:v>3472.2153527609639</c:v>
                </c:pt>
                <c:pt idx="66">
                  <c:v>3348.351042620046</c:v>
                </c:pt>
                <c:pt idx="67">
                  <c:v>3225.3534077764089</c:v>
                </c:pt>
                <c:pt idx="68">
                  <c:v>3103.2163841259526</c:v>
                </c:pt>
                <c:pt idx="69">
                  <c:v>2981.9339499949497</c:v>
                </c:pt>
                <c:pt idx="70">
                  <c:v>2861.5001258431703</c:v>
                </c:pt>
                <c:pt idx="71">
                  <c:v>2741.908973969073</c:v>
                </c:pt>
                <c:pt idx="72">
                  <c:v>2623.1545982170396</c:v>
                </c:pt>
                <c:pt idx="73">
                  <c:v>2505.2311436867149</c:v>
                </c:pt>
                <c:pt idx="74">
                  <c:v>2388.1327964443185</c:v>
                </c:pt>
                <c:pt idx="75">
                  <c:v>2271.8537832360098</c:v>
                </c:pt>
                <c:pt idx="76">
                  <c:v>2156.3883712032534</c:v>
                </c:pt>
                <c:pt idx="77">
                  <c:v>2041.7308676001744</c:v>
                </c:pt>
                <c:pt idx="78">
                  <c:v>1927.8756195128872</c:v>
                </c:pt>
                <c:pt idx="79">
                  <c:v>1814.8170135808027</c:v>
                </c:pt>
                <c:pt idx="80">
                  <c:v>1702.5494757198542</c:v>
                </c:pt>
                <c:pt idx="81">
                  <c:v>1591.0674708477068</c:v>
                </c:pt>
                <c:pt idx="82">
                  <c:v>1480.3655026108434</c:v>
                </c:pt>
                <c:pt idx="83">
                  <c:v>1370.4381131135854</c:v>
                </c:pt>
                <c:pt idx="84">
                  <c:v>1261.2798826490039</c:v>
                </c:pt>
                <c:pt idx="85">
                  <c:v>1152.8854294317312</c:v>
                </c:pt>
                <c:pt idx="86">
                  <c:v>1045.2494093325877</c:v>
                </c:pt>
                <c:pt idx="87">
                  <c:v>938.36651561513793</c:v>
                </c:pt>
                <c:pt idx="88">
                  <c:v>832.23147867404009</c:v>
                </c:pt>
                <c:pt idx="89">
                  <c:v>726.83906577523135</c:v>
                </c:pt>
                <c:pt idx="90">
                  <c:v>622.18408079796689</c:v>
                </c:pt>
                <c:pt idx="91">
                  <c:v>518.26136397860103</c:v>
                </c:pt>
                <c:pt idx="92">
                  <c:v>415.0657916562389</c:v>
                </c:pt>
                <c:pt idx="93">
                  <c:v>312.59227602008474</c:v>
                </c:pt>
                <c:pt idx="94">
                  <c:v>210.83576485864197</c:v>
                </c:pt>
                <c:pt idx="95">
                  <c:v>109.79124131058074</c:v>
                </c:pt>
                <c:pt idx="96">
                  <c:v>9.4537236174337629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B7-4C15-B59A-C128A663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16159"/>
        <c:axId val="154888799"/>
      </c:scatterChart>
      <c:valAx>
        <c:axId val="154916159"/>
        <c:scaling>
          <c:orientation val="minMax"/>
          <c:max val="3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888799"/>
        <c:crosses val="autoZero"/>
        <c:crossBetween val="midCat"/>
        <c:majorUnit val="0.1"/>
        <c:minorUnit val="5.000000000000001E-2"/>
      </c:valAx>
      <c:valAx>
        <c:axId val="154888799"/>
        <c:scaling>
          <c:orientation val="minMax"/>
          <c:max val="13000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916159"/>
        <c:crosses val="autoZero"/>
        <c:crossBetween val="midCat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12</xdr:row>
      <xdr:rowOff>128028</xdr:rowOff>
    </xdr:from>
    <xdr:to>
      <xdr:col>14</xdr:col>
      <xdr:colOff>309562</xdr:colOff>
      <xdr:row>27</xdr:row>
      <xdr:rowOff>13728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D99B7B4-CEC4-0218-B945-D16296B0F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597523</xdr:colOff>
      <xdr:row>11</xdr:row>
      <xdr:rowOff>143045</xdr:rowOff>
    </xdr:from>
    <xdr:to>
      <xdr:col>43</xdr:col>
      <xdr:colOff>5442</xdr:colOff>
      <xdr:row>26</xdr:row>
      <xdr:rowOff>28745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42BB44-A29E-446D-B9E2-835F0B0D5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33616</xdr:colOff>
      <xdr:row>43</xdr:row>
      <xdr:rowOff>69616</xdr:rowOff>
    </xdr:from>
    <xdr:to>
      <xdr:col>17</xdr:col>
      <xdr:colOff>678175</xdr:colOff>
      <xdr:row>62</xdr:row>
      <xdr:rowOff>50116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879D69-82DE-4346-8BCC-80445DDD4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186248</xdr:colOff>
      <xdr:row>32</xdr:row>
      <xdr:rowOff>187236</xdr:rowOff>
    </xdr:from>
    <xdr:to>
      <xdr:col>26</xdr:col>
      <xdr:colOff>784052</xdr:colOff>
      <xdr:row>51</xdr:row>
      <xdr:rowOff>144233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01F292-6C5B-11F0-3486-CC7CF6E9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12</xdr:row>
      <xdr:rowOff>57150</xdr:rowOff>
    </xdr:from>
    <xdr:to>
      <xdr:col>4</xdr:col>
      <xdr:colOff>895350</xdr:colOff>
      <xdr:row>14</xdr:row>
      <xdr:rowOff>111058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E315B5-E3C0-55BC-65AD-FC102816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2343150"/>
          <a:ext cx="2505075" cy="434908"/>
        </a:xfrm>
        <a:prstGeom prst="rect">
          <a:avLst/>
        </a:prstGeom>
      </xdr:spPr>
    </xdr:pic>
    <xdr:clientData/>
  </xdr:twoCellAnchor>
  <xdr:twoCellAnchor editAs="oneCell">
    <xdr:from>
      <xdr:col>2</xdr:col>
      <xdr:colOff>615010</xdr:colOff>
      <xdr:row>17</xdr:row>
      <xdr:rowOff>123825</xdr:rowOff>
    </xdr:from>
    <xdr:to>
      <xdr:col>4</xdr:col>
      <xdr:colOff>1181613</xdr:colOff>
      <xdr:row>27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79A55B-F259-2B9E-51B6-CCDABD63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3260" y="3362325"/>
          <a:ext cx="2843078" cy="1819275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28</xdr:row>
      <xdr:rowOff>9525</xdr:rowOff>
    </xdr:from>
    <xdr:to>
      <xdr:col>10</xdr:col>
      <xdr:colOff>173</xdr:colOff>
      <xdr:row>31</xdr:row>
      <xdr:rowOff>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0B220D-62E8-020C-B548-AC05C5648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62975" y="5343525"/>
          <a:ext cx="1238423" cy="562053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409575</xdr:colOff>
      <xdr:row>35</xdr:row>
      <xdr:rowOff>119062</xdr:rowOff>
    </xdr:from>
    <xdr:to>
      <xdr:col>15</xdr:col>
      <xdr:colOff>553523</xdr:colOff>
      <xdr:row>37</xdr:row>
      <xdr:rowOff>81010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125A4A9-7EA8-B631-6AD3-0EF01E0F9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55481" y="6786562"/>
          <a:ext cx="7680605" cy="34294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37</xdr:row>
      <xdr:rowOff>47625</xdr:rowOff>
    </xdr:from>
    <xdr:to>
      <xdr:col>5</xdr:col>
      <xdr:colOff>19537</xdr:colOff>
      <xdr:row>40</xdr:row>
      <xdr:rowOff>171547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9FB7FAA-C4C7-F6B5-78A6-BD174311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5950" y="7096125"/>
          <a:ext cx="3486637" cy="695422"/>
        </a:xfrm>
        <a:prstGeom prst="rect">
          <a:avLst/>
        </a:prstGeom>
      </xdr:spPr>
    </xdr:pic>
    <xdr:clientData/>
  </xdr:twoCellAnchor>
  <xdr:twoCellAnchor>
    <xdr:from>
      <xdr:col>15</xdr:col>
      <xdr:colOff>128856</xdr:colOff>
      <xdr:row>22</xdr:row>
      <xdr:rowOff>19524</xdr:rowOff>
    </xdr:from>
    <xdr:to>
      <xdr:col>28</xdr:col>
      <xdr:colOff>346416</xdr:colOff>
      <xdr:row>40</xdr:row>
      <xdr:rowOff>162870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26CF6B-D812-4437-B21A-A2BA23D23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152399</xdr:colOff>
      <xdr:row>13</xdr:row>
      <xdr:rowOff>147637</xdr:rowOff>
    </xdr:from>
    <xdr:to>
      <xdr:col>15</xdr:col>
      <xdr:colOff>533399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CF1DF8-0C3B-8AFF-810A-983629BC8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209550</xdr:colOff>
      <xdr:row>13</xdr:row>
      <xdr:rowOff>76200</xdr:rowOff>
    </xdr:from>
    <xdr:to>
      <xdr:col>25</xdr:col>
      <xdr:colOff>466725</xdr:colOff>
      <xdr:row>32</xdr:row>
      <xdr:rowOff>119063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7280C2-13C1-47C0-B825-CEE642D38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461961</xdr:colOff>
      <xdr:row>5</xdr:row>
      <xdr:rowOff>171450</xdr:rowOff>
    </xdr:from>
    <xdr:to>
      <xdr:col>21</xdr:col>
      <xdr:colOff>295274</xdr:colOff>
      <xdr:row>27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5354C2-5C59-4DC0-77C4-C5A9F1CD3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F884-2CFF-4F76-8CE5-270B581E13B9}">
  <dimension ref="B2:AQ80"/>
  <sheetViews>
    <sheetView zoomScale="86" zoomScaleNormal="86" workbookViewId="0">
      <selection activeCell="L8" sqref="L8"/>
    </sheetView>
  </sheetViews>
  <sheetFormatPr defaultRowHeight="15" x14ac:dyDescent="0.25"/>
  <cols>
    <col min="1" max="3" width="9.140625" style="2"/>
    <col min="4" max="4" width="16" style="2" bestFit="1" customWidth="1"/>
    <col min="5" max="5" width="11" style="2" bestFit="1" customWidth="1"/>
    <col min="6" max="6" width="11.7109375" style="2" bestFit="1" customWidth="1"/>
    <col min="7" max="7" width="9.140625" style="2"/>
    <col min="8" max="8" width="11.42578125" style="2" bestFit="1" customWidth="1"/>
    <col min="9" max="9" width="12" style="2" bestFit="1" customWidth="1"/>
    <col min="10" max="10" width="9.140625" style="2"/>
    <col min="11" max="11" width="11.42578125" style="2" bestFit="1" customWidth="1"/>
    <col min="12" max="12" width="12" style="2" bestFit="1" customWidth="1"/>
    <col min="13" max="16" width="9.140625" style="2"/>
    <col min="17" max="17" width="6.140625" style="2" bestFit="1" customWidth="1"/>
    <col min="18" max="18" width="16" style="2" bestFit="1" customWidth="1"/>
    <col min="19" max="19" width="11" style="2" bestFit="1" customWidth="1"/>
    <col min="20" max="20" width="15.42578125" style="2" bestFit="1" customWidth="1"/>
    <col min="21" max="21" width="6.140625" style="2" bestFit="1" customWidth="1"/>
    <col min="22" max="22" width="12.28515625" style="2" bestFit="1" customWidth="1"/>
    <col min="23" max="23" width="14.28515625" style="2" bestFit="1" customWidth="1"/>
    <col min="24" max="24" width="12.5703125" style="2" customWidth="1"/>
    <col min="25" max="25" width="12.28515625" style="2" bestFit="1" customWidth="1"/>
    <col min="26" max="26" width="14.85546875" style="2" bestFit="1" customWidth="1"/>
    <col min="27" max="27" width="12.85546875" style="2" customWidth="1"/>
    <col min="28" max="28" width="9.140625" style="2"/>
    <col min="29" max="29" width="9.140625" style="2" customWidth="1"/>
    <col min="30" max="30" width="16" style="2" bestFit="1" customWidth="1"/>
    <col min="31" max="31" width="11" style="2" bestFit="1" customWidth="1"/>
    <col min="32" max="32" width="9.140625" style="2"/>
    <col min="33" max="33" width="11.7109375" style="2" bestFit="1" customWidth="1"/>
    <col min="34" max="34" width="13.28515625" style="2" bestFit="1" customWidth="1"/>
    <col min="35" max="36" width="9.140625" style="2"/>
    <col min="37" max="37" width="15.85546875" style="2" bestFit="1" customWidth="1"/>
    <col min="38" max="38" width="14.85546875" style="2" bestFit="1" customWidth="1"/>
    <col min="39" max="42" width="9.140625" style="2"/>
    <col min="43" max="43" width="10.28515625" style="2" bestFit="1" customWidth="1"/>
    <col min="44" max="44" width="9.140625" style="2"/>
    <col min="45" max="45" width="13.42578125" style="2" customWidth="1"/>
    <col min="46" max="46" width="13.140625" style="2" customWidth="1"/>
    <col min="47" max="47" width="12.28515625" style="2" bestFit="1" customWidth="1"/>
    <col min="48" max="48" width="12.5703125" style="2" bestFit="1" customWidth="1"/>
    <col min="49" max="51" width="9.140625" style="2"/>
    <col min="52" max="52" width="12.28515625" style="2" bestFit="1" customWidth="1"/>
    <col min="53" max="54" width="9.140625" style="2"/>
    <col min="55" max="55" width="11.28515625" style="2" bestFit="1" customWidth="1"/>
    <col min="56" max="56" width="9.140625" style="2"/>
    <col min="57" max="57" width="16" style="2" bestFit="1" customWidth="1"/>
    <col min="58" max="16384" width="9.140625" style="2"/>
  </cols>
  <sheetData>
    <row r="2" spans="2:43" x14ac:dyDescent="0.25">
      <c r="B2" s="1" t="s">
        <v>0</v>
      </c>
      <c r="C2" s="1"/>
      <c r="D2" s="1"/>
      <c r="E2" s="1"/>
      <c r="F2" s="1"/>
      <c r="G2" s="1"/>
      <c r="H2" s="1"/>
    </row>
    <row r="3" spans="2:43" x14ac:dyDescent="0.25">
      <c r="B3" s="1" t="s">
        <v>3</v>
      </c>
      <c r="C3" s="1"/>
      <c r="D3" s="1"/>
      <c r="E3" s="1"/>
      <c r="F3" s="1"/>
      <c r="G3" s="1"/>
      <c r="H3" s="1"/>
    </row>
    <row r="5" spans="2:43" x14ac:dyDescent="0.25">
      <c r="B5" s="71" t="s">
        <v>2</v>
      </c>
      <c r="C5" s="71"/>
      <c r="D5" s="71"/>
      <c r="E5" s="71"/>
      <c r="F5" s="71"/>
      <c r="H5" s="71" t="s">
        <v>15</v>
      </c>
      <c r="I5" s="71"/>
      <c r="J5" s="71"/>
      <c r="K5" s="71"/>
      <c r="L5" s="71"/>
      <c r="P5" s="71" t="s">
        <v>22</v>
      </c>
      <c r="Q5" s="71"/>
      <c r="R5" s="71"/>
      <c r="S5" s="71"/>
      <c r="T5" s="71"/>
      <c r="U5" s="71"/>
      <c r="V5" s="71"/>
      <c r="W5" s="71"/>
      <c r="X5" s="71"/>
      <c r="Y5" s="71"/>
      <c r="Z5" s="71"/>
      <c r="AA5" s="13"/>
      <c r="AC5" s="71" t="s">
        <v>26</v>
      </c>
      <c r="AD5" s="71"/>
      <c r="AE5" s="71"/>
      <c r="AF5" s="71"/>
      <c r="AG5" s="71"/>
      <c r="AH5" s="71"/>
      <c r="AK5" s="71" t="s">
        <v>35</v>
      </c>
      <c r="AL5" s="71"/>
      <c r="AM5" s="9"/>
      <c r="AN5" s="71" t="s">
        <v>36</v>
      </c>
      <c r="AO5" s="71"/>
      <c r="AP5" s="71"/>
      <c r="AQ5" s="10">
        <v>20</v>
      </c>
    </row>
    <row r="6" spans="2:43" ht="14.25" customHeight="1" x14ac:dyDescent="0.25">
      <c r="B6" s="4" t="s">
        <v>1</v>
      </c>
      <c r="C6" s="4" t="s">
        <v>8</v>
      </c>
      <c r="D6" s="4" t="s">
        <v>7</v>
      </c>
      <c r="E6" s="4" t="s">
        <v>6</v>
      </c>
      <c r="F6" s="4" t="s">
        <v>9</v>
      </c>
      <c r="H6" s="72" t="s">
        <v>17</v>
      </c>
      <c r="I6" s="72"/>
      <c r="J6" s="72"/>
      <c r="K6" s="5" t="s">
        <v>21</v>
      </c>
      <c r="L6" s="6">
        <v>600</v>
      </c>
      <c r="N6" s="2">
        <v>5</v>
      </c>
      <c r="P6" s="4" t="s">
        <v>1</v>
      </c>
      <c r="Q6" s="4" t="s">
        <v>8</v>
      </c>
      <c r="R6" s="4" t="s">
        <v>7</v>
      </c>
      <c r="S6" s="4" t="s">
        <v>6</v>
      </c>
      <c r="T6" s="4" t="s">
        <v>11</v>
      </c>
      <c r="U6" s="4" t="s">
        <v>12</v>
      </c>
      <c r="V6" s="15" t="s">
        <v>41</v>
      </c>
      <c r="W6" s="4" t="s">
        <v>23</v>
      </c>
      <c r="X6" s="4" t="s">
        <v>24</v>
      </c>
      <c r="Y6" s="4" t="s">
        <v>25</v>
      </c>
      <c r="Z6" s="4" t="s">
        <v>48</v>
      </c>
      <c r="AA6" s="13"/>
      <c r="AC6" s="4" t="s">
        <v>1</v>
      </c>
      <c r="AD6" s="4" t="s">
        <v>7</v>
      </c>
      <c r="AE6" s="4" t="s">
        <v>6</v>
      </c>
      <c r="AF6" s="4" t="s">
        <v>27</v>
      </c>
      <c r="AG6" s="4" t="s">
        <v>28</v>
      </c>
      <c r="AH6" s="4" t="s">
        <v>29</v>
      </c>
      <c r="AK6" s="3" t="s">
        <v>33</v>
      </c>
      <c r="AL6" s="3">
        <f>L31</f>
        <v>9.5302116479217235E-3</v>
      </c>
      <c r="AN6" s="70" t="s">
        <v>37</v>
      </c>
      <c r="AO6" s="70"/>
      <c r="AP6" s="70"/>
      <c r="AQ6" s="11">
        <v>0.2</v>
      </c>
    </row>
    <row r="7" spans="2:43" x14ac:dyDescent="0.25">
      <c r="B7" s="3">
        <v>1</v>
      </c>
      <c r="C7" s="3">
        <v>1.242</v>
      </c>
      <c r="D7" s="3">
        <v>42.29</v>
      </c>
      <c r="E7" s="3">
        <f>D7/5</f>
        <v>8.4580000000000002</v>
      </c>
      <c r="F7" s="3">
        <f>C7/E7</f>
        <v>0.14684322534878222</v>
      </c>
      <c r="H7" s="72" t="s">
        <v>16</v>
      </c>
      <c r="I7" s="72"/>
      <c r="J7" s="72"/>
      <c r="K7" s="7" t="s">
        <v>20</v>
      </c>
      <c r="L7" s="3">
        <f>F12</f>
        <v>0.15810998315540872</v>
      </c>
      <c r="N7" s="2">
        <f>N6/L7</f>
        <v>31.623556591524164</v>
      </c>
      <c r="P7" s="3">
        <v>1</v>
      </c>
      <c r="Q7" s="17">
        <v>1.51</v>
      </c>
      <c r="R7" s="17">
        <v>3.79</v>
      </c>
      <c r="S7" s="3">
        <f t="shared" ref="S7:S23" si="0">R7/5</f>
        <v>0.75800000000000001</v>
      </c>
      <c r="T7" s="17">
        <v>2272</v>
      </c>
      <c r="U7" s="3">
        <f>T7*0.6</f>
        <v>1363.2</v>
      </c>
      <c r="V7" s="3">
        <f t="shared" ref="V7:V23" si="1">(U7*2*PI())/60</f>
        <v>142.75397017912022</v>
      </c>
      <c r="W7" s="3">
        <f t="shared" ref="W7:W23" si="2">Q7*S7</f>
        <v>1.1445799999999999</v>
      </c>
      <c r="X7" s="3">
        <f t="shared" ref="X7:X23" si="3">S7*S7*$F$12</f>
        <v>9.0844304361704251E-2</v>
      </c>
      <c r="Y7" s="3">
        <f t="shared" ref="Y7:Y23" si="4">W7-X7</f>
        <v>1.0537356956382957</v>
      </c>
      <c r="Z7" s="3">
        <f>Y7/V7</f>
        <v>7.3814808394899508E-3</v>
      </c>
      <c r="AC7" s="3">
        <v>1</v>
      </c>
      <c r="AD7" s="3">
        <v>0</v>
      </c>
      <c r="AE7" s="3">
        <f>AD7/5</f>
        <v>0</v>
      </c>
      <c r="AF7" s="3">
        <v>0</v>
      </c>
      <c r="AG7" s="3">
        <f>AF7*9.80665/1000</f>
        <v>0</v>
      </c>
      <c r="AH7" s="3">
        <f>AG7*23.1/100</f>
        <v>0</v>
      </c>
      <c r="AK7" s="3" t="s">
        <v>34</v>
      </c>
      <c r="AL7" s="3">
        <f>AK28</f>
        <v>9.7374748269106245E-3</v>
      </c>
      <c r="AN7" s="70" t="s">
        <v>38</v>
      </c>
      <c r="AO7" s="70"/>
      <c r="AP7" s="70"/>
      <c r="AQ7" s="11">
        <f>AQ5*AL7</f>
        <v>0.1947494965382125</v>
      </c>
    </row>
    <row r="8" spans="2:43" x14ac:dyDescent="0.25">
      <c r="B8" s="3">
        <v>2</v>
      </c>
      <c r="C8" s="3">
        <v>1.371</v>
      </c>
      <c r="D8" s="3">
        <v>42.21</v>
      </c>
      <c r="E8" s="3">
        <f>D8/5</f>
        <v>8.4420000000000002</v>
      </c>
      <c r="F8" s="3">
        <f>C8/E8</f>
        <v>0.16240227434257284</v>
      </c>
      <c r="H8" s="72" t="s">
        <v>18</v>
      </c>
      <c r="I8" s="72"/>
      <c r="J8" s="72"/>
      <c r="K8" s="7" t="s">
        <v>19</v>
      </c>
      <c r="L8" s="8">
        <f>(L6)*L7</f>
        <v>94.865989893245228</v>
      </c>
      <c r="P8" s="3">
        <v>2</v>
      </c>
      <c r="Q8" s="17">
        <v>1.9830000000000001</v>
      </c>
      <c r="R8" s="17">
        <v>4.09</v>
      </c>
      <c r="S8" s="3">
        <f t="shared" si="0"/>
        <v>0.81799999999999995</v>
      </c>
      <c r="T8" s="17">
        <v>3125</v>
      </c>
      <c r="U8" s="3">
        <f t="shared" ref="U8:U23" si="5">T8*0.6</f>
        <v>1875</v>
      </c>
      <c r="V8" s="3">
        <f t="shared" si="1"/>
        <v>196.34954084936209</v>
      </c>
      <c r="W8" s="3">
        <f t="shared" si="2"/>
        <v>1.6220939999999999</v>
      </c>
      <c r="X8" s="3">
        <f t="shared" si="3"/>
        <v>0.10579518436887969</v>
      </c>
      <c r="Y8" s="3">
        <f t="shared" si="4"/>
        <v>1.5162988156311203</v>
      </c>
      <c r="Z8" s="3">
        <f t="shared" ref="Z8:Z23" si="6">Y8/V8</f>
        <v>7.7224464547865357E-3</v>
      </c>
      <c r="AC8" s="3">
        <v>2</v>
      </c>
      <c r="AD8" s="3">
        <v>5.6</v>
      </c>
      <c r="AE8" s="3">
        <f t="shared" ref="AE8:AE71" si="7">AD8/5</f>
        <v>1.1199999999999999</v>
      </c>
      <c r="AF8" s="3">
        <v>3</v>
      </c>
      <c r="AG8" s="3">
        <f t="shared" ref="AG8:AG71" si="8">AF8*9.80665/1000</f>
        <v>2.941995E-2</v>
      </c>
      <c r="AH8" s="3">
        <f t="shared" ref="AH8:AH71" si="9">AG8*23.1/100</f>
        <v>6.7960084500000009E-3</v>
      </c>
      <c r="AK8" s="3" t="s">
        <v>31</v>
      </c>
      <c r="AL8" s="3">
        <f>ABS(AL6-AL7)</f>
        <v>2.0726317898890102E-4</v>
      </c>
      <c r="AN8" s="70" t="s">
        <v>39</v>
      </c>
      <c r="AO8" s="70"/>
      <c r="AP8" s="70"/>
      <c r="AQ8" s="12">
        <f>ABS(AQ6-AQ7)</f>
        <v>5.2505034617875146E-3</v>
      </c>
    </row>
    <row r="9" spans="2:43" x14ac:dyDescent="0.25">
      <c r="B9" s="3">
        <v>3</v>
      </c>
      <c r="C9" s="3">
        <v>1.335</v>
      </c>
      <c r="D9" s="3">
        <v>42.35</v>
      </c>
      <c r="E9" s="3">
        <f>D9/5</f>
        <v>8.4700000000000006</v>
      </c>
      <c r="F9" s="3">
        <f>C9/E9</f>
        <v>0.1576151121605667</v>
      </c>
      <c r="P9" s="3">
        <v>3</v>
      </c>
      <c r="Q9" s="17">
        <v>2.4940000000000002</v>
      </c>
      <c r="R9" s="17">
        <v>4.2300000000000004</v>
      </c>
      <c r="S9" s="3">
        <f t="shared" si="0"/>
        <v>0.84600000000000009</v>
      </c>
      <c r="T9" s="17">
        <v>4032</v>
      </c>
      <c r="U9" s="3">
        <f t="shared" si="5"/>
        <v>2419.1999999999998</v>
      </c>
      <c r="V9" s="3">
        <f t="shared" si="1"/>
        <v>253.33803158548091</v>
      </c>
      <c r="W9" s="3">
        <f t="shared" si="2"/>
        <v>2.1099240000000004</v>
      </c>
      <c r="X9" s="3">
        <f t="shared" si="3"/>
        <v>0.11316184470405653</v>
      </c>
      <c r="Y9" s="3">
        <f t="shared" si="4"/>
        <v>1.9967621552959438</v>
      </c>
      <c r="Z9" s="3">
        <f t="shared" si="6"/>
        <v>7.8818097022365138E-3</v>
      </c>
      <c r="AC9" s="3">
        <v>3</v>
      </c>
      <c r="AD9" s="3">
        <v>5.7</v>
      </c>
      <c r="AE9" s="3">
        <f t="shared" si="7"/>
        <v>1.1400000000000001</v>
      </c>
      <c r="AF9" s="3">
        <v>4</v>
      </c>
      <c r="AG9" s="3">
        <f t="shared" si="8"/>
        <v>3.92266E-2</v>
      </c>
      <c r="AH9" s="3">
        <f t="shared" si="9"/>
        <v>9.0613446E-3</v>
      </c>
      <c r="AK9" s="3" t="s">
        <v>32</v>
      </c>
      <c r="AL9" s="3">
        <f>AL8*100</f>
        <v>2.0726317898890102E-2</v>
      </c>
    </row>
    <row r="10" spans="2:43" x14ac:dyDescent="0.25">
      <c r="B10" s="3">
        <v>4</v>
      </c>
      <c r="C10" s="3">
        <v>0.82699999999999996</v>
      </c>
      <c r="D10" s="3">
        <v>24.27</v>
      </c>
      <c r="E10" s="3">
        <f>D10/5</f>
        <v>4.8540000000000001</v>
      </c>
      <c r="F10" s="3">
        <f>C10/E10</f>
        <v>0.1703749484960857</v>
      </c>
      <c r="P10" s="3">
        <v>4</v>
      </c>
      <c r="Q10" s="17">
        <v>3.0539999999999998</v>
      </c>
      <c r="R10" s="17">
        <v>4.24</v>
      </c>
      <c r="S10" s="3">
        <f t="shared" si="0"/>
        <v>0.84800000000000009</v>
      </c>
      <c r="T10" s="17">
        <v>4902</v>
      </c>
      <c r="U10" s="3">
        <f t="shared" si="5"/>
        <v>2941.2</v>
      </c>
      <c r="V10" s="3">
        <f t="shared" si="1"/>
        <v>308.0017437579433</v>
      </c>
      <c r="W10" s="3">
        <f t="shared" si="2"/>
        <v>2.5897920000000001</v>
      </c>
      <c r="X10" s="3">
        <f t="shared" si="3"/>
        <v>0.11369752132698706</v>
      </c>
      <c r="Y10" s="3">
        <f t="shared" si="4"/>
        <v>2.476094478673013</v>
      </c>
      <c r="Z10" s="3">
        <f t="shared" si="6"/>
        <v>8.0392222734263497E-3</v>
      </c>
      <c r="AC10" s="3">
        <v>4</v>
      </c>
      <c r="AD10" s="3">
        <v>6</v>
      </c>
      <c r="AE10" s="3">
        <f t="shared" si="7"/>
        <v>1.2</v>
      </c>
      <c r="AF10" s="3">
        <v>5</v>
      </c>
      <c r="AG10" s="3">
        <f t="shared" si="8"/>
        <v>4.9033249999999994E-2</v>
      </c>
      <c r="AH10" s="3">
        <f t="shared" si="9"/>
        <v>1.132668075E-2</v>
      </c>
    </row>
    <row r="11" spans="2:43" x14ac:dyDescent="0.25">
      <c r="B11" s="3">
        <v>5</v>
      </c>
      <c r="C11" s="3">
        <v>0.754</v>
      </c>
      <c r="D11" s="3">
        <v>24.59</v>
      </c>
      <c r="E11" s="3">
        <f>D11/5</f>
        <v>4.9180000000000001</v>
      </c>
      <c r="F11" s="3">
        <f>C11/E11</f>
        <v>0.15331435542903618</v>
      </c>
      <c r="P11" s="3">
        <v>5</v>
      </c>
      <c r="Q11" s="17">
        <v>3.532</v>
      </c>
      <c r="R11" s="17">
        <v>4.42</v>
      </c>
      <c r="S11" s="3">
        <f t="shared" si="0"/>
        <v>0.88400000000000001</v>
      </c>
      <c r="T11" s="17">
        <v>5882</v>
      </c>
      <c r="U11" s="3">
        <f t="shared" si="5"/>
        <v>3529.2</v>
      </c>
      <c r="V11" s="3">
        <f t="shared" si="1"/>
        <v>369.5769597683032</v>
      </c>
      <c r="W11" s="3">
        <f t="shared" si="2"/>
        <v>3.1222880000000002</v>
      </c>
      <c r="X11" s="3">
        <f t="shared" si="3"/>
        <v>0.12355599499669309</v>
      </c>
      <c r="Y11" s="3">
        <f t="shared" si="4"/>
        <v>2.9987320050033071</v>
      </c>
      <c r="Z11" s="3">
        <f t="shared" si="6"/>
        <v>8.1139582047627789E-3</v>
      </c>
      <c r="AC11" s="3">
        <v>5</v>
      </c>
      <c r="AD11" s="3">
        <v>8</v>
      </c>
      <c r="AE11" s="3">
        <f t="shared" si="7"/>
        <v>1.6</v>
      </c>
      <c r="AF11" s="3">
        <v>6</v>
      </c>
      <c r="AG11" s="3">
        <f t="shared" si="8"/>
        <v>5.8839900000000001E-2</v>
      </c>
      <c r="AH11" s="3">
        <f t="shared" si="9"/>
        <v>1.3592016900000002E-2</v>
      </c>
    </row>
    <row r="12" spans="2:43" x14ac:dyDescent="0.25">
      <c r="B12" s="72" t="s">
        <v>4</v>
      </c>
      <c r="C12" s="72"/>
      <c r="D12" s="72"/>
      <c r="E12" s="72"/>
      <c r="F12" s="3">
        <f>SUM(F7:F11)/B11</f>
        <v>0.15810998315540872</v>
      </c>
      <c r="P12" s="3">
        <v>6</v>
      </c>
      <c r="Q12" s="17">
        <v>4.0049999999999999</v>
      </c>
      <c r="R12" s="17">
        <v>4.58</v>
      </c>
      <c r="S12" s="3">
        <f t="shared" si="0"/>
        <v>0.91600000000000004</v>
      </c>
      <c r="T12" s="17">
        <v>6579</v>
      </c>
      <c r="U12" s="3">
        <f t="shared" si="5"/>
        <v>3947.3999999999996</v>
      </c>
      <c r="V12" s="3">
        <f t="shared" si="1"/>
        <v>413.37076135934495</v>
      </c>
      <c r="W12" s="3">
        <f t="shared" si="2"/>
        <v>3.66858</v>
      </c>
      <c r="X12" s="3">
        <f t="shared" si="3"/>
        <v>0.13266313002644461</v>
      </c>
      <c r="Y12" s="3">
        <f t="shared" si="4"/>
        <v>3.5359168699735553</v>
      </c>
      <c r="Z12" s="3">
        <f t="shared" si="6"/>
        <v>8.5538630220141961E-3</v>
      </c>
      <c r="AC12" s="3">
        <v>6</v>
      </c>
      <c r="AD12" s="3">
        <v>8.8000000000000007</v>
      </c>
      <c r="AE12" s="3">
        <f t="shared" si="7"/>
        <v>1.7600000000000002</v>
      </c>
      <c r="AF12" s="3">
        <v>7</v>
      </c>
      <c r="AG12" s="3">
        <f t="shared" si="8"/>
        <v>6.8646549999999987E-2</v>
      </c>
      <c r="AH12" s="3">
        <f t="shared" si="9"/>
        <v>1.5857353049999998E-2</v>
      </c>
    </row>
    <row r="13" spans="2:43" x14ac:dyDescent="0.25">
      <c r="P13" s="3">
        <v>7</v>
      </c>
      <c r="Q13" s="17">
        <v>4.5010000000000003</v>
      </c>
      <c r="R13" s="17">
        <v>4.6900000000000004</v>
      </c>
      <c r="S13" s="3">
        <f t="shared" si="0"/>
        <v>0.93800000000000006</v>
      </c>
      <c r="T13" s="17">
        <v>7463</v>
      </c>
      <c r="U13" s="3">
        <f t="shared" si="5"/>
        <v>4477.8</v>
      </c>
      <c r="V13" s="3">
        <f t="shared" si="1"/>
        <v>468.91411947481254</v>
      </c>
      <c r="W13" s="3">
        <f t="shared" si="2"/>
        <v>4.2219380000000006</v>
      </c>
      <c r="X13" s="3">
        <f t="shared" si="3"/>
        <v>0.13911212001938744</v>
      </c>
      <c r="Y13" s="3">
        <f t="shared" si="4"/>
        <v>4.0828258799806134</v>
      </c>
      <c r="Z13" s="3">
        <f t="shared" si="6"/>
        <v>8.7069800426427986E-3</v>
      </c>
      <c r="AC13" s="3">
        <v>7</v>
      </c>
      <c r="AD13" s="3">
        <v>9.1999999999999993</v>
      </c>
      <c r="AE13" s="3">
        <f t="shared" si="7"/>
        <v>1.8399999999999999</v>
      </c>
      <c r="AF13" s="3">
        <v>8</v>
      </c>
      <c r="AG13" s="3">
        <f t="shared" si="8"/>
        <v>7.8453200000000001E-2</v>
      </c>
      <c r="AH13" s="3">
        <f t="shared" si="9"/>
        <v>1.81226892E-2</v>
      </c>
    </row>
    <row r="14" spans="2:43" x14ac:dyDescent="0.25">
      <c r="B14" s="71" t="s">
        <v>5</v>
      </c>
      <c r="C14" s="71"/>
      <c r="D14" s="71"/>
      <c r="E14" s="71"/>
      <c r="F14" s="71"/>
      <c r="P14" s="3">
        <v>8</v>
      </c>
      <c r="Q14" s="17">
        <v>5.0119999999999996</v>
      </c>
      <c r="R14" s="17">
        <v>4.8499999999999996</v>
      </c>
      <c r="S14" s="3">
        <f t="shared" si="0"/>
        <v>0.97</v>
      </c>
      <c r="T14" s="17">
        <v>8333</v>
      </c>
      <c r="U14" s="3">
        <f t="shared" si="5"/>
        <v>4999.8</v>
      </c>
      <c r="V14" s="3">
        <f t="shared" si="1"/>
        <v>523.57783164727493</v>
      </c>
      <c r="W14" s="3">
        <f t="shared" si="2"/>
        <v>4.8616399999999995</v>
      </c>
      <c r="X14" s="3">
        <f t="shared" si="3"/>
        <v>0.14876568315092406</v>
      </c>
      <c r="Y14" s="3">
        <f t="shared" si="4"/>
        <v>4.7128743168490752</v>
      </c>
      <c r="Z14" s="3">
        <f t="shared" si="6"/>
        <v>9.0012869758474695E-3</v>
      </c>
      <c r="AC14" s="3">
        <v>8</v>
      </c>
      <c r="AD14" s="3">
        <v>10.6</v>
      </c>
      <c r="AE14" s="3">
        <f t="shared" si="7"/>
        <v>2.12</v>
      </c>
      <c r="AF14" s="3">
        <v>9</v>
      </c>
      <c r="AG14" s="3">
        <f t="shared" si="8"/>
        <v>8.8259850000000001E-2</v>
      </c>
      <c r="AH14" s="3">
        <f t="shared" si="9"/>
        <v>2.0388025350000002E-2</v>
      </c>
    </row>
    <row r="15" spans="2:43" x14ac:dyDescent="0.25">
      <c r="B15" s="4" t="s">
        <v>1</v>
      </c>
      <c r="C15" s="4" t="s">
        <v>10</v>
      </c>
      <c r="D15" s="4" t="s">
        <v>11</v>
      </c>
      <c r="E15" s="4" t="s">
        <v>12</v>
      </c>
      <c r="F15" s="4" t="s">
        <v>30</v>
      </c>
      <c r="P15" s="3">
        <v>9</v>
      </c>
      <c r="Q15" s="17">
        <v>5.5090000000000003</v>
      </c>
      <c r="R15" s="17">
        <v>4.97</v>
      </c>
      <c r="S15" s="3">
        <f t="shared" si="0"/>
        <v>0.99399999999999999</v>
      </c>
      <c r="T15" s="17">
        <v>9091</v>
      </c>
      <c r="U15" s="3">
        <f t="shared" si="5"/>
        <v>5454.5999999999995</v>
      </c>
      <c r="V15" s="3">
        <f t="shared" si="1"/>
        <v>571.20437627569618</v>
      </c>
      <c r="W15" s="3">
        <f t="shared" si="2"/>
        <v>5.4759460000000004</v>
      </c>
      <c r="X15" s="3">
        <f t="shared" si="3"/>
        <v>0.15621835531693742</v>
      </c>
      <c r="Y15" s="3">
        <f t="shared" si="4"/>
        <v>5.3197276446830628</v>
      </c>
      <c r="Z15" s="3">
        <f t="shared" si="6"/>
        <v>9.3131773243198251E-3</v>
      </c>
      <c r="AC15" s="3">
        <v>9</v>
      </c>
      <c r="AD15" s="3">
        <v>12.2</v>
      </c>
      <c r="AE15" s="3">
        <f t="shared" si="7"/>
        <v>2.44</v>
      </c>
      <c r="AF15" s="3">
        <v>10</v>
      </c>
      <c r="AG15" s="3">
        <f t="shared" si="8"/>
        <v>9.8066499999999987E-2</v>
      </c>
      <c r="AH15" s="3">
        <f t="shared" si="9"/>
        <v>2.26533615E-2</v>
      </c>
    </row>
    <row r="16" spans="2:43" x14ac:dyDescent="0.25">
      <c r="B16" s="3">
        <v>0</v>
      </c>
      <c r="C16" s="3">
        <v>0</v>
      </c>
      <c r="D16" s="3">
        <v>0</v>
      </c>
      <c r="E16" s="3">
        <f>D16*0.6</f>
        <v>0</v>
      </c>
      <c r="F16" s="3">
        <f>(2*PI()/60)*E16</f>
        <v>0</v>
      </c>
      <c r="P16" s="3">
        <v>10</v>
      </c>
      <c r="Q16" s="17">
        <v>6.04</v>
      </c>
      <c r="R16" s="17">
        <v>5.05</v>
      </c>
      <c r="S16" s="3">
        <f t="shared" si="0"/>
        <v>1.01</v>
      </c>
      <c r="T16" s="17">
        <v>10000</v>
      </c>
      <c r="U16" s="3">
        <f t="shared" si="5"/>
        <v>6000</v>
      </c>
      <c r="V16" s="3">
        <f t="shared" si="1"/>
        <v>628.31853071795865</v>
      </c>
      <c r="W16" s="3">
        <f t="shared" si="2"/>
        <v>6.1004000000000005</v>
      </c>
      <c r="X16" s="3">
        <f t="shared" si="3"/>
        <v>0.16128799381683245</v>
      </c>
      <c r="Y16" s="3">
        <f t="shared" si="4"/>
        <v>5.9391120061831684</v>
      </c>
      <c r="Z16" s="3">
        <f t="shared" si="6"/>
        <v>9.4523903336047443E-3</v>
      </c>
      <c r="AC16" s="3">
        <v>10</v>
      </c>
      <c r="AD16" s="3">
        <v>13.3</v>
      </c>
      <c r="AE16" s="3">
        <f t="shared" si="7"/>
        <v>2.66</v>
      </c>
      <c r="AF16" s="3">
        <v>11</v>
      </c>
      <c r="AG16" s="3">
        <f t="shared" si="8"/>
        <v>0.10787315</v>
      </c>
      <c r="AH16" s="3">
        <f t="shared" si="9"/>
        <v>2.4918697650000002E-2</v>
      </c>
    </row>
    <row r="17" spans="2:37" x14ac:dyDescent="0.25">
      <c r="B17" s="3">
        <v>1</v>
      </c>
      <c r="C17" s="63">
        <v>1.3100000000000001E-2</v>
      </c>
      <c r="D17" s="64">
        <v>21.74</v>
      </c>
      <c r="E17" s="61">
        <f t="shared" ref="E17:E66" si="10">D17*0.6</f>
        <v>13.043999999999999</v>
      </c>
      <c r="F17" s="62">
        <f t="shared" ref="F17:F66" si="11">(2*PI()/60)*E17</f>
        <v>1.365964485780842</v>
      </c>
      <c r="P17" s="3">
        <v>11</v>
      </c>
      <c r="Q17" s="17">
        <v>6.51</v>
      </c>
      <c r="R17" s="17">
        <v>5.2</v>
      </c>
      <c r="S17" s="3">
        <f t="shared" si="0"/>
        <v>1.04</v>
      </c>
      <c r="T17" s="17">
        <v>10870</v>
      </c>
      <c r="U17" s="3">
        <f t="shared" si="5"/>
        <v>6522</v>
      </c>
      <c r="V17" s="3">
        <f t="shared" si="1"/>
        <v>682.98224289042105</v>
      </c>
      <c r="W17" s="3">
        <f t="shared" si="2"/>
        <v>6.7704000000000004</v>
      </c>
      <c r="X17" s="3">
        <f t="shared" si="3"/>
        <v>0.17101175778089009</v>
      </c>
      <c r="Y17" s="3">
        <f t="shared" si="4"/>
        <v>6.5993882422191099</v>
      </c>
      <c r="Z17" s="3">
        <f t="shared" si="6"/>
        <v>9.6626058889761335E-3</v>
      </c>
      <c r="AC17" s="3">
        <v>11</v>
      </c>
      <c r="AD17" s="3">
        <v>13.7</v>
      </c>
      <c r="AE17" s="3">
        <f t="shared" si="7"/>
        <v>2.7399999999999998</v>
      </c>
      <c r="AF17" s="3">
        <v>12</v>
      </c>
      <c r="AG17" s="3">
        <f t="shared" si="8"/>
        <v>0.1176798</v>
      </c>
      <c r="AH17" s="3">
        <f t="shared" si="9"/>
        <v>2.7184033800000004E-2</v>
      </c>
    </row>
    <row r="18" spans="2:37" x14ac:dyDescent="0.25">
      <c r="B18" s="3">
        <v>2</v>
      </c>
      <c r="C18" s="63">
        <v>1.3899999999999999E-2</v>
      </c>
      <c r="D18" s="64">
        <v>22.81</v>
      </c>
      <c r="E18" s="61">
        <f t="shared" si="10"/>
        <v>13.685999999999998</v>
      </c>
      <c r="F18" s="62">
        <f t="shared" si="11"/>
        <v>1.4331945685676635</v>
      </c>
      <c r="P18" s="3">
        <v>12</v>
      </c>
      <c r="Q18" s="17">
        <v>7.05</v>
      </c>
      <c r="R18" s="17">
        <v>5.26</v>
      </c>
      <c r="S18" s="3">
        <f t="shared" si="0"/>
        <v>1.052</v>
      </c>
      <c r="T18" s="17">
        <v>11628</v>
      </c>
      <c r="U18" s="3">
        <f t="shared" si="5"/>
        <v>6976.8</v>
      </c>
      <c r="V18" s="3">
        <f t="shared" si="1"/>
        <v>730.60878751884229</v>
      </c>
      <c r="W18" s="3">
        <f t="shared" si="2"/>
        <v>7.4165999999999999</v>
      </c>
      <c r="X18" s="3">
        <f t="shared" si="3"/>
        <v>0.17498095079802348</v>
      </c>
      <c r="Y18" s="3">
        <f t="shared" si="4"/>
        <v>7.2416190492019767</v>
      </c>
      <c r="Z18" s="3">
        <f t="shared" si="6"/>
        <v>9.9117601278717396E-3</v>
      </c>
      <c r="AC18" s="3">
        <v>12</v>
      </c>
      <c r="AD18" s="3">
        <v>15</v>
      </c>
      <c r="AE18" s="3">
        <f t="shared" si="7"/>
        <v>3</v>
      </c>
      <c r="AF18" s="3">
        <v>13</v>
      </c>
      <c r="AG18" s="3">
        <f t="shared" si="8"/>
        <v>0.12748645</v>
      </c>
      <c r="AH18" s="3">
        <f t="shared" si="9"/>
        <v>2.9449369950000005E-2</v>
      </c>
    </row>
    <row r="19" spans="2:37" x14ac:dyDescent="0.25">
      <c r="B19" s="3">
        <v>3</v>
      </c>
      <c r="C19" s="63">
        <v>1.8499999999999999E-2</v>
      </c>
      <c r="D19" s="64">
        <v>30.9</v>
      </c>
      <c r="E19" s="61">
        <f t="shared" si="10"/>
        <v>18.54</v>
      </c>
      <c r="F19" s="62">
        <f t="shared" si="11"/>
        <v>1.941504259918492</v>
      </c>
      <c r="P19" s="3">
        <v>13</v>
      </c>
      <c r="Q19" s="17">
        <v>7.52</v>
      </c>
      <c r="R19" s="17">
        <v>5.6</v>
      </c>
      <c r="S19" s="3">
        <f t="shared" si="0"/>
        <v>1.1199999999999999</v>
      </c>
      <c r="T19" s="17">
        <v>12777</v>
      </c>
      <c r="U19" s="3">
        <f t="shared" si="5"/>
        <v>7666.2</v>
      </c>
      <c r="V19" s="3">
        <f t="shared" si="1"/>
        <v>802.80258669833563</v>
      </c>
      <c r="W19" s="3">
        <f t="shared" si="2"/>
        <v>8.4223999999999979</v>
      </c>
      <c r="X19" s="3">
        <f t="shared" si="3"/>
        <v>0.19833316287014466</v>
      </c>
      <c r="Y19" s="3">
        <f t="shared" si="4"/>
        <v>8.224066837129854</v>
      </c>
      <c r="Z19" s="3">
        <f t="shared" si="6"/>
        <v>1.0244195738024152E-2</v>
      </c>
      <c r="AC19" s="3">
        <v>13</v>
      </c>
      <c r="AD19" s="3">
        <v>16.5</v>
      </c>
      <c r="AE19" s="3">
        <f t="shared" si="7"/>
        <v>3.3</v>
      </c>
      <c r="AF19" s="3">
        <v>14</v>
      </c>
      <c r="AG19" s="3">
        <f t="shared" si="8"/>
        <v>0.13729309999999997</v>
      </c>
      <c r="AH19" s="3">
        <f t="shared" si="9"/>
        <v>3.1714706099999997E-2</v>
      </c>
    </row>
    <row r="20" spans="2:37" x14ac:dyDescent="0.25">
      <c r="B20" s="3">
        <v>4</v>
      </c>
      <c r="C20" s="63">
        <v>2.1299999999999999E-2</v>
      </c>
      <c r="D20" s="64">
        <v>35.869999999999997</v>
      </c>
      <c r="E20" s="61">
        <f t="shared" si="10"/>
        <v>21.521999999999998</v>
      </c>
      <c r="F20" s="62">
        <f t="shared" si="11"/>
        <v>2.2537785696853172</v>
      </c>
      <c r="P20" s="3">
        <v>14</v>
      </c>
      <c r="Q20" s="17">
        <v>8.06</v>
      </c>
      <c r="R20" s="17">
        <v>5.7</v>
      </c>
      <c r="S20" s="3">
        <f t="shared" si="0"/>
        <v>1.1400000000000001</v>
      </c>
      <c r="T20" s="17">
        <v>13464</v>
      </c>
      <c r="U20" s="3">
        <f t="shared" si="5"/>
        <v>8078.4</v>
      </c>
      <c r="V20" s="3">
        <f t="shared" si="1"/>
        <v>845.96806975865945</v>
      </c>
      <c r="W20" s="3">
        <f t="shared" si="2"/>
        <v>9.1884000000000015</v>
      </c>
      <c r="X20" s="3">
        <f t="shared" si="3"/>
        <v>0.20547973410876921</v>
      </c>
      <c r="Y20" s="3">
        <f t="shared" si="4"/>
        <v>8.9829202658912326</v>
      </c>
      <c r="Z20" s="3">
        <f t="shared" si="6"/>
        <v>1.0618509831528167E-2</v>
      </c>
      <c r="AC20" s="3">
        <v>14</v>
      </c>
      <c r="AD20" s="3">
        <v>17.899999999999999</v>
      </c>
      <c r="AE20" s="3">
        <f t="shared" si="7"/>
        <v>3.5799999999999996</v>
      </c>
      <c r="AF20" s="3">
        <v>15</v>
      </c>
      <c r="AG20" s="3">
        <f t="shared" si="8"/>
        <v>0.14709975</v>
      </c>
      <c r="AH20" s="3">
        <f t="shared" si="9"/>
        <v>3.3980042250000002E-2</v>
      </c>
    </row>
    <row r="21" spans="2:37" x14ac:dyDescent="0.25">
      <c r="B21" s="3">
        <v>5</v>
      </c>
      <c r="C21" s="63">
        <v>2.58E-2</v>
      </c>
      <c r="D21" s="64">
        <v>42.81</v>
      </c>
      <c r="E21" s="61">
        <f t="shared" si="10"/>
        <v>25.686</v>
      </c>
      <c r="F21" s="62">
        <f t="shared" si="11"/>
        <v>2.6898316300035807</v>
      </c>
      <c r="P21" s="3">
        <v>15</v>
      </c>
      <c r="Q21" s="17">
        <v>8.51</v>
      </c>
      <c r="R21" s="17">
        <v>5.9</v>
      </c>
      <c r="S21" s="3">
        <f t="shared" si="0"/>
        <v>1.1800000000000002</v>
      </c>
      <c r="T21" s="17">
        <v>14560</v>
      </c>
      <c r="U21" s="3">
        <f t="shared" si="5"/>
        <v>8736</v>
      </c>
      <c r="V21" s="3">
        <f t="shared" si="1"/>
        <v>914.83178072534781</v>
      </c>
      <c r="W21" s="3">
        <f t="shared" si="2"/>
        <v>10.0418</v>
      </c>
      <c r="X21" s="3">
        <f t="shared" si="3"/>
        <v>0.22015234054559116</v>
      </c>
      <c r="Y21" s="3">
        <f t="shared" si="4"/>
        <v>9.8216476594544098</v>
      </c>
      <c r="Z21" s="3">
        <f t="shared" si="6"/>
        <v>1.0736014933441715E-2</v>
      </c>
      <c r="AC21" s="3">
        <v>15</v>
      </c>
      <c r="AD21" s="3">
        <v>20.3</v>
      </c>
      <c r="AE21" s="3">
        <f t="shared" si="7"/>
        <v>4.0600000000000005</v>
      </c>
      <c r="AF21" s="3">
        <v>16</v>
      </c>
      <c r="AG21" s="3">
        <f t="shared" si="8"/>
        <v>0.1569064</v>
      </c>
      <c r="AH21" s="3">
        <f t="shared" si="9"/>
        <v>3.62453784E-2</v>
      </c>
    </row>
    <row r="22" spans="2:37" x14ac:dyDescent="0.25">
      <c r="B22" s="3">
        <v>6</v>
      </c>
      <c r="C22" s="63">
        <v>2.7099999999999999E-2</v>
      </c>
      <c r="D22" s="64">
        <v>46.17</v>
      </c>
      <c r="E22" s="61">
        <f t="shared" si="10"/>
        <v>27.702000000000002</v>
      </c>
      <c r="F22" s="62">
        <f t="shared" si="11"/>
        <v>2.9009466563248152</v>
      </c>
      <c r="P22" s="3">
        <v>16</v>
      </c>
      <c r="Q22" s="17">
        <v>9.0500000000000007</v>
      </c>
      <c r="R22" s="17">
        <v>5.9</v>
      </c>
      <c r="S22" s="3">
        <f t="shared" si="0"/>
        <v>1.1800000000000002</v>
      </c>
      <c r="T22" s="17">
        <v>15151</v>
      </c>
      <c r="U22" s="3">
        <f t="shared" si="5"/>
        <v>9090.6</v>
      </c>
      <c r="V22" s="3">
        <f t="shared" si="1"/>
        <v>951.96540589077915</v>
      </c>
      <c r="W22" s="3">
        <f t="shared" si="2"/>
        <v>10.679000000000002</v>
      </c>
      <c r="X22" s="3">
        <f t="shared" si="3"/>
        <v>0.22015234054559116</v>
      </c>
      <c r="Y22" s="3">
        <f t="shared" si="4"/>
        <v>10.458847659454412</v>
      </c>
      <c r="Z22" s="3">
        <f t="shared" si="6"/>
        <v>1.0986583750559498E-2</v>
      </c>
      <c r="AC22" s="3">
        <v>16</v>
      </c>
      <c r="AD22" s="3">
        <v>20.399999999999999</v>
      </c>
      <c r="AE22" s="3">
        <f t="shared" si="7"/>
        <v>4.08</v>
      </c>
      <c r="AF22" s="3">
        <v>17</v>
      </c>
      <c r="AG22" s="3">
        <f t="shared" si="8"/>
        <v>0.16671304999999997</v>
      </c>
      <c r="AH22" s="3">
        <f t="shared" si="9"/>
        <v>3.8510714549999998E-2</v>
      </c>
    </row>
    <row r="23" spans="2:37" x14ac:dyDescent="0.25">
      <c r="B23" s="3">
        <v>7</v>
      </c>
      <c r="C23" s="63">
        <v>3.7199999999999997E-2</v>
      </c>
      <c r="D23" s="64">
        <v>62.03</v>
      </c>
      <c r="E23" s="61">
        <f t="shared" si="10"/>
        <v>37.217999999999996</v>
      </c>
      <c r="F23" s="62">
        <f t="shared" si="11"/>
        <v>3.8974598460434966</v>
      </c>
      <c r="P23" s="3">
        <v>17</v>
      </c>
      <c r="Q23" s="17">
        <v>9.49</v>
      </c>
      <c r="R23" s="17">
        <v>5.9</v>
      </c>
      <c r="S23" s="3">
        <f t="shared" si="0"/>
        <v>1.1800000000000002</v>
      </c>
      <c r="T23" s="17">
        <v>15625</v>
      </c>
      <c r="U23" s="3">
        <f t="shared" si="5"/>
        <v>9375</v>
      </c>
      <c r="V23" s="3">
        <f t="shared" si="1"/>
        <v>981.74770424681037</v>
      </c>
      <c r="W23" s="3">
        <f t="shared" si="2"/>
        <v>11.198200000000002</v>
      </c>
      <c r="X23" s="3">
        <f t="shared" si="3"/>
        <v>0.22015234054559116</v>
      </c>
      <c r="Y23" s="3">
        <f t="shared" si="4"/>
        <v>10.978047659454411</v>
      </c>
      <c r="Z23" s="3">
        <f t="shared" si="6"/>
        <v>1.1182147523203722E-2</v>
      </c>
      <c r="AC23" s="3">
        <v>17</v>
      </c>
      <c r="AD23" s="3">
        <v>21.1</v>
      </c>
      <c r="AE23" s="3">
        <f t="shared" si="7"/>
        <v>4.2200000000000006</v>
      </c>
      <c r="AF23" s="3">
        <v>18</v>
      </c>
      <c r="AG23" s="3">
        <f t="shared" si="8"/>
        <v>0.1765197</v>
      </c>
      <c r="AH23" s="3">
        <f t="shared" si="9"/>
        <v>4.0776050700000004E-2</v>
      </c>
    </row>
    <row r="24" spans="2:37" x14ac:dyDescent="0.25">
      <c r="B24" s="3">
        <v>8</v>
      </c>
      <c r="C24" s="63">
        <v>5.7799999999999997E-2</v>
      </c>
      <c r="D24" s="64">
        <v>95.97</v>
      </c>
      <c r="E24" s="61">
        <f t="shared" si="10"/>
        <v>57.581999999999994</v>
      </c>
      <c r="F24" s="62">
        <f t="shared" si="11"/>
        <v>6.0299729393002481</v>
      </c>
      <c r="AC24" s="3">
        <v>18</v>
      </c>
      <c r="AD24" s="3">
        <v>21.5</v>
      </c>
      <c r="AE24" s="3">
        <f t="shared" si="7"/>
        <v>4.3</v>
      </c>
      <c r="AF24" s="3">
        <v>19</v>
      </c>
      <c r="AG24" s="3">
        <f t="shared" si="8"/>
        <v>0.18632635</v>
      </c>
      <c r="AH24" s="3">
        <f t="shared" si="9"/>
        <v>4.3041386850000009E-2</v>
      </c>
    </row>
    <row r="25" spans="2:37" x14ac:dyDescent="0.25">
      <c r="B25" s="3">
        <v>9</v>
      </c>
      <c r="C25" s="63">
        <v>6.54E-2</v>
      </c>
      <c r="D25" s="64">
        <v>108.4</v>
      </c>
      <c r="E25" s="61">
        <f t="shared" si="10"/>
        <v>65.040000000000006</v>
      </c>
      <c r="F25" s="62">
        <f t="shared" si="11"/>
        <v>6.8109728729826715</v>
      </c>
      <c r="AC25" s="3">
        <v>19</v>
      </c>
      <c r="AD25" s="3">
        <v>22.4</v>
      </c>
      <c r="AE25" s="3">
        <f t="shared" si="7"/>
        <v>4.4799999999999995</v>
      </c>
      <c r="AF25" s="3">
        <v>20</v>
      </c>
      <c r="AG25" s="3">
        <f t="shared" si="8"/>
        <v>0.19613299999999997</v>
      </c>
      <c r="AH25" s="3">
        <f t="shared" si="9"/>
        <v>4.5306723E-2</v>
      </c>
    </row>
    <row r="26" spans="2:37" x14ac:dyDescent="0.25">
      <c r="B26" s="3">
        <v>10</v>
      </c>
      <c r="C26" s="63">
        <v>8.3799999999999999E-2</v>
      </c>
      <c r="D26" s="64">
        <v>139.6</v>
      </c>
      <c r="E26" s="61">
        <f t="shared" si="10"/>
        <v>83.759999999999991</v>
      </c>
      <c r="F26" s="62">
        <f t="shared" si="11"/>
        <v>8.7713266888227004</v>
      </c>
      <c r="AC26" s="3">
        <v>20</v>
      </c>
      <c r="AD26" s="3">
        <v>22.9</v>
      </c>
      <c r="AE26" s="3">
        <f t="shared" si="7"/>
        <v>4.58</v>
      </c>
      <c r="AF26" s="3">
        <v>21</v>
      </c>
      <c r="AG26" s="3">
        <f t="shared" si="8"/>
        <v>0.20593965</v>
      </c>
      <c r="AH26" s="3">
        <f t="shared" si="9"/>
        <v>4.7572059149999998E-2</v>
      </c>
    </row>
    <row r="27" spans="2:37" x14ac:dyDescent="0.25">
      <c r="B27" s="3">
        <v>11</v>
      </c>
      <c r="C27" s="63">
        <v>9.3600000000000003E-2</v>
      </c>
      <c r="D27" s="64">
        <v>156</v>
      </c>
      <c r="E27" s="61">
        <f t="shared" si="10"/>
        <v>93.6</v>
      </c>
      <c r="F27" s="62">
        <f t="shared" si="11"/>
        <v>9.8017690792001542</v>
      </c>
      <c r="S27"/>
      <c r="W27" s="71" t="s">
        <v>45</v>
      </c>
      <c r="X27" s="71"/>
      <c r="AC27" s="3">
        <v>21</v>
      </c>
      <c r="AD27" s="3">
        <v>25.3</v>
      </c>
      <c r="AE27" s="3">
        <f t="shared" si="7"/>
        <v>5.0600000000000005</v>
      </c>
      <c r="AF27" s="3">
        <v>22</v>
      </c>
      <c r="AG27" s="3">
        <f t="shared" si="8"/>
        <v>0.2157463</v>
      </c>
      <c r="AH27" s="3">
        <f t="shared" si="9"/>
        <v>4.9837395300000004E-2</v>
      </c>
    </row>
    <row r="28" spans="2:37" x14ac:dyDescent="0.25">
      <c r="B28" s="3">
        <v>12</v>
      </c>
      <c r="C28" s="63">
        <v>0.12640000000000001</v>
      </c>
      <c r="D28" s="64">
        <v>209.9</v>
      </c>
      <c r="E28" s="61">
        <f t="shared" si="10"/>
        <v>125.94</v>
      </c>
      <c r="F28" s="62">
        <f t="shared" si="11"/>
        <v>13.18840595976995</v>
      </c>
      <c r="S28" s="65"/>
      <c r="W28" s="3" t="s">
        <v>46</v>
      </c>
      <c r="X28" s="3">
        <f>SLOPE(Z7:Z23,V7:V23)</f>
        <v>4.4849059609316639E-6</v>
      </c>
      <c r="AC28" s="3">
        <v>22</v>
      </c>
      <c r="AD28" s="3">
        <v>25.9</v>
      </c>
      <c r="AE28" s="3">
        <f t="shared" si="7"/>
        <v>5.18</v>
      </c>
      <c r="AF28" s="3">
        <v>23</v>
      </c>
      <c r="AG28" s="3">
        <f t="shared" si="8"/>
        <v>0.22555294999999997</v>
      </c>
      <c r="AH28" s="3">
        <f t="shared" si="9"/>
        <v>5.2102731449999995E-2</v>
      </c>
      <c r="AJ28" s="2" t="s">
        <v>13</v>
      </c>
      <c r="AK28" s="2">
        <f>SLOPE(AH7:AH80,AE7:AE80)</f>
        <v>9.7374748269106245E-3</v>
      </c>
    </row>
    <row r="29" spans="2:37" x14ac:dyDescent="0.25">
      <c r="B29" s="3">
        <v>13</v>
      </c>
      <c r="C29" s="63">
        <v>0.1399</v>
      </c>
      <c r="D29" s="64">
        <v>231</v>
      </c>
      <c r="E29" s="61">
        <f t="shared" si="10"/>
        <v>138.6</v>
      </c>
      <c r="F29" s="62">
        <f t="shared" si="11"/>
        <v>14.514158059584844</v>
      </c>
      <c r="S29" s="65"/>
      <c r="T29" s="66"/>
      <c r="W29" s="3" t="s">
        <v>47</v>
      </c>
      <c r="X29" s="67">
        <f>INTERCEPT(Z7:Z23,V7:V23)</f>
        <v>6.683396585531816E-3</v>
      </c>
      <c r="AC29" s="3">
        <v>23</v>
      </c>
      <c r="AD29" s="3">
        <v>28.2</v>
      </c>
      <c r="AE29" s="3">
        <f t="shared" si="7"/>
        <v>5.64</v>
      </c>
      <c r="AF29" s="3">
        <v>24</v>
      </c>
      <c r="AG29" s="3">
        <f t="shared" si="8"/>
        <v>0.2353596</v>
      </c>
      <c r="AH29" s="3">
        <f t="shared" si="9"/>
        <v>5.4368067600000007E-2</v>
      </c>
      <c r="AJ29" s="2" t="s">
        <v>14</v>
      </c>
      <c r="AK29" s="2">
        <f>INTERCEPT(AH7:AH80,AE7:AE80)</f>
        <v>-4.8042521859373299E-4</v>
      </c>
    </row>
    <row r="30" spans="2:37" x14ac:dyDescent="0.25">
      <c r="B30" s="3">
        <v>14</v>
      </c>
      <c r="C30" s="63">
        <v>0.16420000000000001</v>
      </c>
      <c r="D30" s="64">
        <v>275.89999999999998</v>
      </c>
      <c r="E30" s="61">
        <f t="shared" si="10"/>
        <v>165.54</v>
      </c>
      <c r="F30" s="62">
        <f t="shared" si="11"/>
        <v>17.335308262508477</v>
      </c>
      <c r="H30" s="71" t="s">
        <v>12</v>
      </c>
      <c r="I30" s="71"/>
      <c r="K30" s="71" t="s">
        <v>30</v>
      </c>
      <c r="L30" s="71"/>
      <c r="AC30" s="3">
        <v>24</v>
      </c>
      <c r="AD30" s="3">
        <v>29.5</v>
      </c>
      <c r="AE30" s="3">
        <f t="shared" si="7"/>
        <v>5.9</v>
      </c>
      <c r="AF30" s="3">
        <v>25</v>
      </c>
      <c r="AG30" s="3">
        <f t="shared" si="8"/>
        <v>0.24516625</v>
      </c>
      <c r="AH30" s="3">
        <f t="shared" si="9"/>
        <v>5.6633403750000005E-2</v>
      </c>
    </row>
    <row r="31" spans="2:37" x14ac:dyDescent="0.25">
      <c r="B31" s="3">
        <v>15</v>
      </c>
      <c r="C31" s="63">
        <v>0.1865</v>
      </c>
      <c r="D31" s="64">
        <v>312.5</v>
      </c>
      <c r="E31" s="61">
        <f t="shared" si="10"/>
        <v>187.5</v>
      </c>
      <c r="F31" s="62">
        <f t="shared" si="11"/>
        <v>19.634954084936208</v>
      </c>
      <c r="H31" s="3" t="s">
        <v>13</v>
      </c>
      <c r="I31" s="3">
        <f>SLOPE(C16:C66,E16:E66)</f>
        <v>9.9800143000889187E-4</v>
      </c>
      <c r="K31" s="3" t="s">
        <v>13</v>
      </c>
      <c r="L31" s="3">
        <f>SLOPE(C16:C66,F16:F66)</f>
        <v>9.5302116479217235E-3</v>
      </c>
      <c r="W31" s="2" t="s">
        <v>49</v>
      </c>
      <c r="X31" s="2">
        <v>34.4</v>
      </c>
      <c r="AC31" s="3">
        <v>25</v>
      </c>
      <c r="AD31" s="3">
        <v>29.9</v>
      </c>
      <c r="AE31" s="3">
        <f t="shared" si="7"/>
        <v>5.9799999999999995</v>
      </c>
      <c r="AF31" s="3">
        <v>26</v>
      </c>
      <c r="AG31" s="3">
        <f t="shared" si="8"/>
        <v>0.2549729</v>
      </c>
      <c r="AH31" s="3">
        <f t="shared" si="9"/>
        <v>5.8898739900000011E-2</v>
      </c>
    </row>
    <row r="32" spans="2:37" x14ac:dyDescent="0.25">
      <c r="B32" s="3">
        <v>16</v>
      </c>
      <c r="C32" s="63">
        <v>0.19739999999999999</v>
      </c>
      <c r="D32" s="64">
        <v>342</v>
      </c>
      <c r="E32" s="61">
        <f t="shared" si="10"/>
        <v>205.2</v>
      </c>
      <c r="F32" s="62">
        <f t="shared" si="11"/>
        <v>21.488493750554184</v>
      </c>
      <c r="H32" s="3" t="s">
        <v>14</v>
      </c>
      <c r="I32" s="3">
        <f>INTERCEPT(C16:C66,E16:E66)</f>
        <v>1.1973975647117108E-5</v>
      </c>
      <c r="K32" s="3" t="s">
        <v>14</v>
      </c>
      <c r="L32" s="3">
        <f>INTERCEPT(C16:C66,F16:F66)</f>
        <v>1.1973975646950574E-5</v>
      </c>
      <c r="Q32" s="9"/>
      <c r="R32" s="9"/>
      <c r="T32" s="9"/>
      <c r="W32" s="2" t="s">
        <v>50</v>
      </c>
      <c r="X32" s="2">
        <f>(X31/1000)*(X28+(AL6*AL7/L7))</f>
        <v>2.0344825848088781E-5</v>
      </c>
      <c r="Y32" s="2" t="s">
        <v>51</v>
      </c>
      <c r="AC32" s="3">
        <v>26</v>
      </c>
      <c r="AD32" s="3">
        <v>31.3</v>
      </c>
      <c r="AE32" s="3">
        <f t="shared" si="7"/>
        <v>6.26</v>
      </c>
      <c r="AF32" s="3">
        <v>27</v>
      </c>
      <c r="AG32" s="3">
        <f t="shared" si="8"/>
        <v>0.26477954999999997</v>
      </c>
      <c r="AH32" s="3">
        <f t="shared" si="9"/>
        <v>6.1164076050000002E-2</v>
      </c>
    </row>
    <row r="33" spans="2:34" x14ac:dyDescent="0.25">
      <c r="B33" s="3">
        <v>17</v>
      </c>
      <c r="C33" s="63">
        <v>0.21759999999999999</v>
      </c>
      <c r="D33" s="64">
        <v>359.7</v>
      </c>
      <c r="E33" s="61">
        <f t="shared" si="10"/>
        <v>215.82</v>
      </c>
      <c r="F33" s="62">
        <f t="shared" si="11"/>
        <v>22.600617549924969</v>
      </c>
      <c r="Q33" s="13"/>
      <c r="R33" s="14"/>
      <c r="X33" s="16"/>
      <c r="AC33" s="3">
        <v>27</v>
      </c>
      <c r="AD33" s="3">
        <v>32.700000000000003</v>
      </c>
      <c r="AE33" s="3">
        <f t="shared" si="7"/>
        <v>6.5400000000000009</v>
      </c>
      <c r="AF33" s="3">
        <v>28</v>
      </c>
      <c r="AG33" s="3">
        <f t="shared" si="8"/>
        <v>0.27458619999999995</v>
      </c>
      <c r="AH33" s="3">
        <f t="shared" si="9"/>
        <v>6.3429412199999993E-2</v>
      </c>
    </row>
    <row r="34" spans="2:34" x14ac:dyDescent="0.25">
      <c r="B34" s="3">
        <v>18</v>
      </c>
      <c r="C34" s="63">
        <v>0.23730000000000001</v>
      </c>
      <c r="D34" s="64">
        <v>393</v>
      </c>
      <c r="E34" s="61">
        <f t="shared" si="10"/>
        <v>235.79999999999998</v>
      </c>
      <c r="F34" s="62">
        <f t="shared" si="11"/>
        <v>24.692918257215769</v>
      </c>
      <c r="AC34" s="3">
        <v>28</v>
      </c>
      <c r="AD34" s="3">
        <v>33.799999999999997</v>
      </c>
      <c r="AE34" s="3">
        <f t="shared" si="7"/>
        <v>6.76</v>
      </c>
      <c r="AF34" s="3">
        <v>29</v>
      </c>
      <c r="AG34" s="3">
        <f t="shared" si="8"/>
        <v>0.28439285000000003</v>
      </c>
      <c r="AH34" s="3">
        <f t="shared" si="9"/>
        <v>6.5694748350000012E-2</v>
      </c>
    </row>
    <row r="35" spans="2:34" x14ac:dyDescent="0.25">
      <c r="B35" s="3">
        <v>19</v>
      </c>
      <c r="C35" s="63">
        <v>0.23730000000000001</v>
      </c>
      <c r="D35" s="64">
        <v>400.6</v>
      </c>
      <c r="E35" s="61">
        <f t="shared" si="10"/>
        <v>240.36</v>
      </c>
      <c r="F35" s="62">
        <f t="shared" si="11"/>
        <v>25.170440340561424</v>
      </c>
      <c r="AA35" s="9"/>
      <c r="AC35" s="3">
        <v>29</v>
      </c>
      <c r="AD35" s="3">
        <v>34.200000000000003</v>
      </c>
      <c r="AE35" s="3">
        <f t="shared" si="7"/>
        <v>6.8400000000000007</v>
      </c>
      <c r="AF35" s="3">
        <v>30</v>
      </c>
      <c r="AG35" s="3">
        <f t="shared" si="8"/>
        <v>0.2941995</v>
      </c>
      <c r="AH35" s="3">
        <f t="shared" si="9"/>
        <v>6.7960084500000004E-2</v>
      </c>
    </row>
    <row r="36" spans="2:34" x14ac:dyDescent="0.25">
      <c r="B36" s="3">
        <v>20</v>
      </c>
      <c r="C36" s="63">
        <v>0.25140000000000001</v>
      </c>
      <c r="D36" s="64">
        <v>421.5</v>
      </c>
      <c r="E36" s="61">
        <f t="shared" si="10"/>
        <v>252.89999999999998</v>
      </c>
      <c r="F36" s="62">
        <f t="shared" si="11"/>
        <v>26.483626069761954</v>
      </c>
      <c r="AC36" s="3">
        <v>30</v>
      </c>
      <c r="AD36" s="3">
        <v>35.4</v>
      </c>
      <c r="AE36" s="3">
        <f t="shared" si="7"/>
        <v>7.08</v>
      </c>
      <c r="AF36" s="3">
        <v>31</v>
      </c>
      <c r="AG36" s="3">
        <f t="shared" si="8"/>
        <v>0.30400614999999998</v>
      </c>
      <c r="AH36" s="3">
        <f t="shared" si="9"/>
        <v>7.0225420649999995E-2</v>
      </c>
    </row>
    <row r="37" spans="2:34" x14ac:dyDescent="0.25">
      <c r="B37" s="3">
        <v>21</v>
      </c>
      <c r="C37" s="63">
        <v>0.25969999999999999</v>
      </c>
      <c r="D37" s="64">
        <v>425.8</v>
      </c>
      <c r="E37" s="61">
        <f t="shared" si="10"/>
        <v>255.48</v>
      </c>
      <c r="F37" s="62">
        <f t="shared" si="11"/>
        <v>26.753803037970677</v>
      </c>
      <c r="AC37" s="3">
        <v>31</v>
      </c>
      <c r="AD37" s="3">
        <v>37.299999999999997</v>
      </c>
      <c r="AE37" s="3">
        <f t="shared" si="7"/>
        <v>7.4599999999999991</v>
      </c>
      <c r="AF37" s="3">
        <v>32</v>
      </c>
      <c r="AG37" s="3">
        <f t="shared" si="8"/>
        <v>0.3138128</v>
      </c>
      <c r="AH37" s="3">
        <f t="shared" si="9"/>
        <v>7.24907568E-2</v>
      </c>
    </row>
    <row r="38" spans="2:34" x14ac:dyDescent="0.25">
      <c r="B38" s="3">
        <v>22</v>
      </c>
      <c r="C38" s="63">
        <v>0.27489999999999998</v>
      </c>
      <c r="D38" s="64">
        <v>456.2</v>
      </c>
      <c r="E38" s="61">
        <f t="shared" si="10"/>
        <v>273.71999999999997</v>
      </c>
      <c r="F38" s="62">
        <f t="shared" si="11"/>
        <v>28.663891371353269</v>
      </c>
      <c r="AC38" s="3">
        <v>32</v>
      </c>
      <c r="AD38" s="3">
        <v>38.700000000000003</v>
      </c>
      <c r="AE38" s="3">
        <f t="shared" si="7"/>
        <v>7.74</v>
      </c>
      <c r="AF38" s="3">
        <v>33</v>
      </c>
      <c r="AG38" s="3">
        <f t="shared" si="8"/>
        <v>0.32361944999999998</v>
      </c>
      <c r="AH38" s="3">
        <f t="shared" si="9"/>
        <v>7.4756092950000005E-2</v>
      </c>
    </row>
    <row r="39" spans="2:34" x14ac:dyDescent="0.25">
      <c r="B39" s="3">
        <v>23</v>
      </c>
      <c r="C39" s="63">
        <v>0.27500000000000002</v>
      </c>
      <c r="D39" s="64">
        <v>462.5</v>
      </c>
      <c r="E39" s="61">
        <f t="shared" si="10"/>
        <v>277.5</v>
      </c>
      <c r="F39" s="62">
        <f t="shared" si="11"/>
        <v>29.059732045705584</v>
      </c>
      <c r="AC39" s="3">
        <v>33</v>
      </c>
      <c r="AD39" s="3">
        <v>40.200000000000003</v>
      </c>
      <c r="AE39" s="3">
        <f t="shared" si="7"/>
        <v>8.0400000000000009</v>
      </c>
      <c r="AF39" s="3">
        <v>34</v>
      </c>
      <c r="AG39" s="3">
        <f t="shared" si="8"/>
        <v>0.33342609999999995</v>
      </c>
      <c r="AH39" s="3">
        <f t="shared" si="9"/>
        <v>7.7021429099999997E-2</v>
      </c>
    </row>
    <row r="40" spans="2:34" x14ac:dyDescent="0.25">
      <c r="B40" s="3">
        <v>24</v>
      </c>
      <c r="C40" s="63">
        <v>0.27989999999999998</v>
      </c>
      <c r="D40" s="64">
        <v>463.8</v>
      </c>
      <c r="E40" s="61">
        <f t="shared" si="10"/>
        <v>278.27999999999997</v>
      </c>
      <c r="F40" s="62">
        <f t="shared" si="11"/>
        <v>29.141413454698917</v>
      </c>
      <c r="AC40" s="3">
        <v>34</v>
      </c>
      <c r="AD40" s="3">
        <v>40.799999999999997</v>
      </c>
      <c r="AE40" s="3">
        <f t="shared" si="7"/>
        <v>8.16</v>
      </c>
      <c r="AF40" s="3">
        <v>35</v>
      </c>
      <c r="AG40" s="3">
        <f t="shared" si="8"/>
        <v>0.34323274999999998</v>
      </c>
      <c r="AH40" s="3">
        <f t="shared" si="9"/>
        <v>7.9286765250000002E-2</v>
      </c>
    </row>
    <row r="41" spans="2:34" x14ac:dyDescent="0.25">
      <c r="B41" s="3">
        <v>25</v>
      </c>
      <c r="C41" s="63">
        <v>0.29709999999999998</v>
      </c>
      <c r="D41" s="64">
        <v>492.6</v>
      </c>
      <c r="E41" s="61">
        <f t="shared" si="10"/>
        <v>295.56</v>
      </c>
      <c r="F41" s="62">
        <f t="shared" si="11"/>
        <v>30.950970823166642</v>
      </c>
      <c r="AC41" s="3">
        <v>35</v>
      </c>
      <c r="AD41" s="3">
        <v>42.5</v>
      </c>
      <c r="AE41" s="3">
        <f t="shared" si="7"/>
        <v>8.5</v>
      </c>
      <c r="AF41" s="3">
        <v>36</v>
      </c>
      <c r="AG41" s="3">
        <f t="shared" si="8"/>
        <v>0.3530394</v>
      </c>
      <c r="AH41" s="3">
        <f t="shared" si="9"/>
        <v>8.1552101400000007E-2</v>
      </c>
    </row>
    <row r="42" spans="2:34" x14ac:dyDescent="0.25">
      <c r="B42" s="3">
        <v>26</v>
      </c>
      <c r="C42" s="63">
        <v>0.29630000000000001</v>
      </c>
      <c r="D42" s="64">
        <v>495</v>
      </c>
      <c r="E42" s="61">
        <f t="shared" si="10"/>
        <v>297</v>
      </c>
      <c r="F42" s="62">
        <f t="shared" si="11"/>
        <v>31.10176727053895</v>
      </c>
      <c r="AC42" s="3">
        <v>36</v>
      </c>
      <c r="AD42" s="3">
        <v>42.7</v>
      </c>
      <c r="AE42" s="3">
        <f t="shared" si="7"/>
        <v>8.5400000000000009</v>
      </c>
      <c r="AF42" s="3">
        <v>37</v>
      </c>
      <c r="AG42" s="3">
        <f t="shared" si="8"/>
        <v>0.36284604999999998</v>
      </c>
      <c r="AH42" s="3">
        <f t="shared" si="9"/>
        <v>8.3817437549999999E-2</v>
      </c>
    </row>
    <row r="43" spans="2:34" x14ac:dyDescent="0.25">
      <c r="B43" s="3">
        <v>27</v>
      </c>
      <c r="C43" s="63">
        <v>0.29699999999999999</v>
      </c>
      <c r="D43" s="64">
        <v>495.5</v>
      </c>
      <c r="E43" s="61">
        <f t="shared" si="10"/>
        <v>297.3</v>
      </c>
      <c r="F43" s="62">
        <f t="shared" si="11"/>
        <v>31.13318319707485</v>
      </c>
      <c r="AC43" s="3">
        <v>37</v>
      </c>
      <c r="AD43" s="3">
        <v>43.9</v>
      </c>
      <c r="AE43" s="3">
        <f t="shared" si="7"/>
        <v>8.7799999999999994</v>
      </c>
      <c r="AF43" s="3">
        <v>38</v>
      </c>
      <c r="AG43" s="3">
        <f t="shared" si="8"/>
        <v>0.3726527</v>
      </c>
      <c r="AH43" s="3">
        <f t="shared" si="9"/>
        <v>8.6082773700000018E-2</v>
      </c>
    </row>
    <row r="44" spans="2:34" x14ac:dyDescent="0.25">
      <c r="B44" s="3">
        <v>28</v>
      </c>
      <c r="C44" s="63">
        <v>0.33729999999999999</v>
      </c>
      <c r="D44" s="64">
        <v>565.6</v>
      </c>
      <c r="E44" s="61">
        <f t="shared" si="10"/>
        <v>339.36</v>
      </c>
      <c r="F44" s="62">
        <f t="shared" si="11"/>
        <v>35.537696097407739</v>
      </c>
      <c r="AC44" s="3">
        <v>38</v>
      </c>
      <c r="AD44" s="3">
        <v>45.4</v>
      </c>
      <c r="AE44" s="3">
        <f t="shared" si="7"/>
        <v>9.08</v>
      </c>
      <c r="AF44" s="3">
        <v>39</v>
      </c>
      <c r="AG44" s="3">
        <f t="shared" si="8"/>
        <v>0.38245934999999998</v>
      </c>
      <c r="AH44" s="3">
        <f t="shared" si="9"/>
        <v>8.8348109850000009E-2</v>
      </c>
    </row>
    <row r="45" spans="2:34" x14ac:dyDescent="0.25">
      <c r="B45" s="3">
        <v>29</v>
      </c>
      <c r="C45" s="63">
        <v>0.38479999999999998</v>
      </c>
      <c r="D45" s="64">
        <v>636.1</v>
      </c>
      <c r="E45" s="61">
        <f t="shared" si="10"/>
        <v>381.66</v>
      </c>
      <c r="F45" s="62">
        <f t="shared" si="11"/>
        <v>39.967341738969345</v>
      </c>
      <c r="AC45" s="3">
        <v>39</v>
      </c>
      <c r="AD45" s="3">
        <v>46.8</v>
      </c>
      <c r="AE45" s="3">
        <f t="shared" si="7"/>
        <v>9.36</v>
      </c>
      <c r="AF45" s="3">
        <v>40</v>
      </c>
      <c r="AG45" s="3">
        <f t="shared" si="8"/>
        <v>0.39226599999999995</v>
      </c>
      <c r="AH45" s="3">
        <f t="shared" si="9"/>
        <v>9.0613446E-2</v>
      </c>
    </row>
    <row r="46" spans="2:34" x14ac:dyDescent="0.25">
      <c r="B46" s="3">
        <v>30</v>
      </c>
      <c r="C46" s="63">
        <v>0.38690000000000002</v>
      </c>
      <c r="D46" s="64">
        <v>643.6</v>
      </c>
      <c r="E46" s="61">
        <f t="shared" si="10"/>
        <v>386.16</v>
      </c>
      <c r="F46" s="62">
        <f t="shared" si="11"/>
        <v>40.438580637007817</v>
      </c>
      <c r="AC46" s="3">
        <v>40</v>
      </c>
      <c r="AD46" s="3">
        <v>47.2</v>
      </c>
      <c r="AE46" s="3">
        <f t="shared" si="7"/>
        <v>9.4400000000000013</v>
      </c>
      <c r="AF46" s="3">
        <v>41</v>
      </c>
      <c r="AG46" s="3">
        <f t="shared" si="8"/>
        <v>0.40207264999999998</v>
      </c>
      <c r="AH46" s="3">
        <f t="shared" si="9"/>
        <v>9.2878782149999992E-2</v>
      </c>
    </row>
    <row r="47" spans="2:34" x14ac:dyDescent="0.25">
      <c r="B47" s="3">
        <v>31</v>
      </c>
      <c r="C47" s="63">
        <v>0.43780000000000002</v>
      </c>
      <c r="D47" s="64">
        <v>735.2</v>
      </c>
      <c r="E47" s="61">
        <f t="shared" si="10"/>
        <v>441.12</v>
      </c>
      <c r="F47" s="62">
        <f t="shared" si="11"/>
        <v>46.193978378384315</v>
      </c>
      <c r="AC47" s="3">
        <v>41</v>
      </c>
      <c r="AD47" s="3">
        <v>50</v>
      </c>
      <c r="AE47" s="3">
        <f t="shared" si="7"/>
        <v>10</v>
      </c>
      <c r="AF47" s="3">
        <v>42</v>
      </c>
      <c r="AG47" s="3">
        <f t="shared" si="8"/>
        <v>0.4118793</v>
      </c>
      <c r="AH47" s="3">
        <f t="shared" si="9"/>
        <v>9.5144118299999997E-2</v>
      </c>
    </row>
    <row r="48" spans="2:34" x14ac:dyDescent="0.25">
      <c r="B48" s="3">
        <v>32</v>
      </c>
      <c r="C48" s="63">
        <v>0.443</v>
      </c>
      <c r="D48" s="64">
        <v>738.5</v>
      </c>
      <c r="E48" s="61">
        <f t="shared" si="10"/>
        <v>443.09999999999997</v>
      </c>
      <c r="F48" s="62">
        <f t="shared" si="11"/>
        <v>46.40132349352124</v>
      </c>
      <c r="AC48" s="3">
        <v>42</v>
      </c>
      <c r="AD48" s="3">
        <v>51.1</v>
      </c>
      <c r="AE48" s="3">
        <f t="shared" si="7"/>
        <v>10.220000000000001</v>
      </c>
      <c r="AF48" s="3">
        <v>43</v>
      </c>
      <c r="AG48" s="3">
        <f t="shared" si="8"/>
        <v>0.42168594999999998</v>
      </c>
      <c r="AH48" s="3">
        <f t="shared" si="9"/>
        <v>9.7409454449999988E-2</v>
      </c>
    </row>
    <row r="49" spans="2:34" x14ac:dyDescent="0.25">
      <c r="B49" s="3">
        <v>33</v>
      </c>
      <c r="C49" s="63">
        <v>0.47699999999999998</v>
      </c>
      <c r="D49" s="64">
        <v>792.3</v>
      </c>
      <c r="E49" s="61">
        <f t="shared" si="10"/>
        <v>475.37999999999994</v>
      </c>
      <c r="F49" s="62">
        <f t="shared" si="11"/>
        <v>49.781677188783853</v>
      </c>
      <c r="AC49" s="3">
        <v>43</v>
      </c>
      <c r="AD49" s="3">
        <v>51.3</v>
      </c>
      <c r="AE49" s="3">
        <f t="shared" si="7"/>
        <v>10.26</v>
      </c>
      <c r="AF49" s="3">
        <v>44</v>
      </c>
      <c r="AG49" s="3">
        <f t="shared" si="8"/>
        <v>0.4314926</v>
      </c>
      <c r="AH49" s="3">
        <f t="shared" si="9"/>
        <v>9.9674790600000007E-2</v>
      </c>
    </row>
    <row r="50" spans="2:34" x14ac:dyDescent="0.25">
      <c r="B50" s="3">
        <v>34</v>
      </c>
      <c r="C50" s="63">
        <v>0.47499999999999998</v>
      </c>
      <c r="D50" s="64">
        <v>793.6</v>
      </c>
      <c r="E50" s="61">
        <f t="shared" si="10"/>
        <v>476.15999999999997</v>
      </c>
      <c r="F50" s="62">
        <f t="shared" si="11"/>
        <v>49.863358597777193</v>
      </c>
      <c r="AC50" s="3">
        <v>44</v>
      </c>
      <c r="AD50" s="3">
        <v>52.9</v>
      </c>
      <c r="AE50" s="3">
        <f t="shared" si="7"/>
        <v>10.58</v>
      </c>
      <c r="AF50" s="3">
        <v>45</v>
      </c>
      <c r="AG50" s="3">
        <f t="shared" si="8"/>
        <v>0.44129924999999998</v>
      </c>
      <c r="AH50" s="3">
        <f t="shared" si="9"/>
        <v>0.10194012675</v>
      </c>
    </row>
    <row r="51" spans="2:34" x14ac:dyDescent="0.25">
      <c r="B51" s="3">
        <v>35</v>
      </c>
      <c r="C51" s="63">
        <v>0.52410000000000001</v>
      </c>
      <c r="D51" s="64">
        <v>875.6</v>
      </c>
      <c r="E51" s="61">
        <f t="shared" si="10"/>
        <v>525.36</v>
      </c>
      <c r="F51" s="62">
        <f t="shared" si="11"/>
        <v>55.015570549664453</v>
      </c>
      <c r="AC51" s="3">
        <v>45</v>
      </c>
      <c r="AD51" s="3">
        <v>54.8</v>
      </c>
      <c r="AE51" s="3">
        <f t="shared" si="7"/>
        <v>10.959999999999999</v>
      </c>
      <c r="AF51" s="3">
        <v>46</v>
      </c>
      <c r="AG51" s="3">
        <f t="shared" si="8"/>
        <v>0.45110589999999995</v>
      </c>
      <c r="AH51" s="3">
        <f t="shared" si="9"/>
        <v>0.10420546289999999</v>
      </c>
    </row>
    <row r="52" spans="2:34" x14ac:dyDescent="0.25">
      <c r="B52" s="3">
        <v>36</v>
      </c>
      <c r="C52" s="63">
        <v>0.60599999999999998</v>
      </c>
      <c r="D52" s="64">
        <v>1010</v>
      </c>
      <c r="E52" s="61">
        <f t="shared" si="10"/>
        <v>606</v>
      </c>
      <c r="F52" s="62">
        <f t="shared" si="11"/>
        <v>63.460171602513817</v>
      </c>
      <c r="AC52" s="3">
        <v>46</v>
      </c>
      <c r="AD52" s="3">
        <v>55.7</v>
      </c>
      <c r="AE52" s="3">
        <f t="shared" si="7"/>
        <v>11.14</v>
      </c>
      <c r="AF52" s="3">
        <v>47</v>
      </c>
      <c r="AG52" s="3">
        <f t="shared" si="8"/>
        <v>0.46091254999999998</v>
      </c>
      <c r="AH52" s="3">
        <f t="shared" si="9"/>
        <v>0.10647079905</v>
      </c>
    </row>
    <row r="53" spans="2:34" x14ac:dyDescent="0.25">
      <c r="B53" s="3">
        <v>37</v>
      </c>
      <c r="C53" s="63">
        <v>0.61699999999999999</v>
      </c>
      <c r="D53" s="64">
        <v>1030</v>
      </c>
      <c r="E53" s="61">
        <f t="shared" si="10"/>
        <v>618</v>
      </c>
      <c r="F53" s="62">
        <f t="shared" si="11"/>
        <v>64.716808663949735</v>
      </c>
      <c r="AC53" s="3">
        <v>47</v>
      </c>
      <c r="AD53" s="3">
        <v>57.5</v>
      </c>
      <c r="AE53" s="3">
        <f t="shared" si="7"/>
        <v>11.5</v>
      </c>
      <c r="AF53" s="3">
        <v>48</v>
      </c>
      <c r="AG53" s="3">
        <f t="shared" si="8"/>
        <v>0.4707192</v>
      </c>
      <c r="AH53" s="3">
        <f t="shared" si="9"/>
        <v>0.10873613520000001</v>
      </c>
    </row>
    <row r="54" spans="2:34" x14ac:dyDescent="0.25">
      <c r="B54" s="3">
        <v>38</v>
      </c>
      <c r="C54" s="63">
        <v>0.61899999999999999</v>
      </c>
      <c r="D54" s="64">
        <v>1040</v>
      </c>
      <c r="E54" s="61">
        <f t="shared" si="10"/>
        <v>624</v>
      </c>
      <c r="F54" s="62">
        <f t="shared" si="11"/>
        <v>65.345127194667697</v>
      </c>
      <c r="AC54" s="3">
        <v>48</v>
      </c>
      <c r="AD54" s="3">
        <v>58</v>
      </c>
      <c r="AE54" s="3">
        <f t="shared" si="7"/>
        <v>11.6</v>
      </c>
      <c r="AF54" s="3">
        <v>49</v>
      </c>
      <c r="AG54" s="3">
        <f t="shared" si="8"/>
        <v>0.48052584999999998</v>
      </c>
      <c r="AH54" s="3">
        <f t="shared" si="9"/>
        <v>0.11100147135000001</v>
      </c>
    </row>
    <row r="55" spans="2:34" x14ac:dyDescent="0.25">
      <c r="B55" s="3">
        <v>39</v>
      </c>
      <c r="C55" s="63">
        <v>0.625</v>
      </c>
      <c r="D55" s="64">
        <v>1070</v>
      </c>
      <c r="E55" s="61">
        <f t="shared" si="10"/>
        <v>642</v>
      </c>
      <c r="F55" s="62">
        <f t="shared" si="11"/>
        <v>67.230082786821569</v>
      </c>
      <c r="AC55" s="3">
        <v>49</v>
      </c>
      <c r="AD55" s="3">
        <v>59.1</v>
      </c>
      <c r="AE55" s="3">
        <f t="shared" si="7"/>
        <v>11.82</v>
      </c>
      <c r="AF55" s="3">
        <v>50</v>
      </c>
      <c r="AG55" s="3">
        <f t="shared" si="8"/>
        <v>0.4903325</v>
      </c>
      <c r="AH55" s="3">
        <f t="shared" si="9"/>
        <v>0.11326680750000001</v>
      </c>
    </row>
    <row r="56" spans="2:34" x14ac:dyDescent="0.25">
      <c r="B56" s="3">
        <v>40</v>
      </c>
      <c r="C56" s="63">
        <v>0.68200000000000005</v>
      </c>
      <c r="D56" s="64">
        <v>1150</v>
      </c>
      <c r="E56" s="61">
        <f t="shared" si="10"/>
        <v>690</v>
      </c>
      <c r="F56" s="62">
        <f t="shared" si="11"/>
        <v>72.256631032565238</v>
      </c>
      <c r="AC56" s="3">
        <v>50</v>
      </c>
      <c r="AD56" s="3">
        <v>59.4</v>
      </c>
      <c r="AE56" s="3">
        <f t="shared" si="7"/>
        <v>11.879999999999999</v>
      </c>
      <c r="AF56" s="3">
        <v>51</v>
      </c>
      <c r="AG56" s="3">
        <f t="shared" si="8"/>
        <v>0.50013914999999998</v>
      </c>
      <c r="AH56" s="3">
        <f t="shared" si="9"/>
        <v>0.11553214365</v>
      </c>
    </row>
    <row r="57" spans="2:34" x14ac:dyDescent="0.25">
      <c r="B57" s="3">
        <v>41</v>
      </c>
      <c r="C57" s="63">
        <v>0.751</v>
      </c>
      <c r="D57" s="64">
        <v>1240</v>
      </c>
      <c r="E57" s="61">
        <f t="shared" si="10"/>
        <v>744</v>
      </c>
      <c r="F57" s="62">
        <f t="shared" si="11"/>
        <v>77.911497809026869</v>
      </c>
      <c r="AC57" s="3">
        <v>51</v>
      </c>
      <c r="AD57" s="3">
        <v>61.3</v>
      </c>
      <c r="AE57" s="3">
        <f t="shared" si="7"/>
        <v>12.26</v>
      </c>
      <c r="AF57" s="3">
        <v>52</v>
      </c>
      <c r="AG57" s="3">
        <f t="shared" si="8"/>
        <v>0.5099458</v>
      </c>
      <c r="AH57" s="3">
        <f t="shared" si="9"/>
        <v>0.11779747980000002</v>
      </c>
    </row>
    <row r="58" spans="2:34" x14ac:dyDescent="0.25">
      <c r="B58" s="3">
        <v>42</v>
      </c>
      <c r="C58" s="63">
        <v>0.752</v>
      </c>
      <c r="D58" s="64">
        <v>1250</v>
      </c>
      <c r="E58" s="61">
        <f t="shared" si="10"/>
        <v>750</v>
      </c>
      <c r="F58" s="62">
        <f t="shared" si="11"/>
        <v>78.539816339744831</v>
      </c>
      <c r="AC58" s="3">
        <v>52</v>
      </c>
      <c r="AD58" s="3">
        <v>61.7</v>
      </c>
      <c r="AE58" s="3">
        <f t="shared" si="7"/>
        <v>12.34</v>
      </c>
      <c r="AF58" s="3">
        <v>53</v>
      </c>
      <c r="AG58" s="3">
        <f t="shared" si="8"/>
        <v>0.51975244999999992</v>
      </c>
      <c r="AH58" s="3">
        <f t="shared" si="9"/>
        <v>0.12006281594999998</v>
      </c>
    </row>
    <row r="59" spans="2:34" x14ac:dyDescent="0.25">
      <c r="B59" s="3">
        <v>43</v>
      </c>
      <c r="C59" s="63">
        <v>0.79200000000000004</v>
      </c>
      <c r="D59" s="64">
        <v>1310</v>
      </c>
      <c r="E59" s="61">
        <f t="shared" si="10"/>
        <v>786</v>
      </c>
      <c r="F59" s="62">
        <f t="shared" si="11"/>
        <v>82.309727524052576</v>
      </c>
      <c r="AC59" s="3">
        <v>53</v>
      </c>
      <c r="AD59" s="3">
        <v>63.8</v>
      </c>
      <c r="AE59" s="3">
        <f t="shared" si="7"/>
        <v>12.76</v>
      </c>
      <c r="AF59" s="3">
        <v>54</v>
      </c>
      <c r="AG59" s="3">
        <f t="shared" si="8"/>
        <v>0.52955909999999995</v>
      </c>
      <c r="AH59" s="3">
        <f t="shared" si="9"/>
        <v>0.1223281521</v>
      </c>
    </row>
    <row r="60" spans="2:34" x14ac:dyDescent="0.25">
      <c r="B60" s="3">
        <v>44</v>
      </c>
      <c r="C60" s="63">
        <v>0.97099999999999997</v>
      </c>
      <c r="D60" s="64">
        <v>1610</v>
      </c>
      <c r="E60" s="61">
        <f t="shared" si="10"/>
        <v>966</v>
      </c>
      <c r="F60" s="62">
        <f t="shared" si="11"/>
        <v>101.15928344559133</v>
      </c>
      <c r="AC60" s="3">
        <v>54</v>
      </c>
      <c r="AD60" s="3">
        <v>64</v>
      </c>
      <c r="AE60" s="3">
        <f t="shared" si="7"/>
        <v>12.8</v>
      </c>
      <c r="AF60" s="3">
        <v>55</v>
      </c>
      <c r="AG60" s="3">
        <f t="shared" si="8"/>
        <v>0.53936574999999998</v>
      </c>
      <c r="AH60" s="3">
        <f t="shared" si="9"/>
        <v>0.12459348825000001</v>
      </c>
    </row>
    <row r="61" spans="2:34" x14ac:dyDescent="0.25">
      <c r="B61" s="3">
        <v>45</v>
      </c>
      <c r="C61" s="63">
        <v>0.97399999999999998</v>
      </c>
      <c r="D61" s="64">
        <v>1650</v>
      </c>
      <c r="E61" s="61">
        <f t="shared" si="10"/>
        <v>990</v>
      </c>
      <c r="F61" s="62">
        <f t="shared" si="11"/>
        <v>103.67255756846316</v>
      </c>
      <c r="AC61" s="3">
        <v>55</v>
      </c>
      <c r="AD61" s="3">
        <v>65.2</v>
      </c>
      <c r="AE61" s="3">
        <f t="shared" si="7"/>
        <v>13.040000000000001</v>
      </c>
      <c r="AF61" s="3">
        <v>56</v>
      </c>
      <c r="AG61" s="3">
        <f t="shared" si="8"/>
        <v>0.54917239999999989</v>
      </c>
      <c r="AH61" s="3">
        <f t="shared" si="9"/>
        <v>0.12685882439999999</v>
      </c>
    </row>
    <row r="62" spans="2:34" x14ac:dyDescent="0.25">
      <c r="B62" s="3">
        <v>46</v>
      </c>
      <c r="C62" s="63">
        <v>1.036</v>
      </c>
      <c r="D62" s="64">
        <v>1710</v>
      </c>
      <c r="E62" s="61">
        <f t="shared" si="10"/>
        <v>1026</v>
      </c>
      <c r="F62" s="62">
        <f t="shared" si="11"/>
        <v>107.44246875277092</v>
      </c>
      <c r="AC62" s="3">
        <v>56</v>
      </c>
      <c r="AD62" s="3">
        <v>66.099999999999994</v>
      </c>
      <c r="AE62" s="3">
        <f t="shared" si="7"/>
        <v>13.219999999999999</v>
      </c>
      <c r="AF62" s="3">
        <v>57</v>
      </c>
      <c r="AG62" s="3">
        <f t="shared" si="8"/>
        <v>0.55897904999999992</v>
      </c>
      <c r="AH62" s="3">
        <f t="shared" si="9"/>
        <v>0.12912416055000001</v>
      </c>
    </row>
    <row r="63" spans="2:34" x14ac:dyDescent="0.25">
      <c r="B63" s="3">
        <v>47</v>
      </c>
      <c r="C63" s="63">
        <v>1.0389999999999999</v>
      </c>
      <c r="D63" s="64">
        <v>1750</v>
      </c>
      <c r="E63" s="61">
        <f t="shared" si="10"/>
        <v>1050</v>
      </c>
      <c r="F63" s="62">
        <f t="shared" si="11"/>
        <v>109.95574287564276</v>
      </c>
      <c r="AC63" s="3">
        <v>57</v>
      </c>
      <c r="AD63" s="3">
        <v>67.900000000000006</v>
      </c>
      <c r="AE63" s="3">
        <f t="shared" si="7"/>
        <v>13.580000000000002</v>
      </c>
      <c r="AF63" s="3">
        <v>58</v>
      </c>
      <c r="AG63" s="3">
        <f t="shared" si="8"/>
        <v>0.56878570000000006</v>
      </c>
      <c r="AH63" s="3">
        <f t="shared" si="9"/>
        <v>0.13138949670000002</v>
      </c>
    </row>
    <row r="64" spans="2:34" x14ac:dyDescent="0.25">
      <c r="B64" s="3">
        <v>48</v>
      </c>
      <c r="C64" s="63">
        <v>1.107</v>
      </c>
      <c r="D64" s="64">
        <v>1850</v>
      </c>
      <c r="E64" s="61">
        <f t="shared" si="10"/>
        <v>1110</v>
      </c>
      <c r="F64" s="62">
        <f t="shared" si="11"/>
        <v>116.23892818282233</v>
      </c>
      <c r="AC64" s="3">
        <v>58</v>
      </c>
      <c r="AD64" s="3">
        <v>68.400000000000006</v>
      </c>
      <c r="AE64" s="3">
        <f t="shared" si="7"/>
        <v>13.680000000000001</v>
      </c>
      <c r="AF64" s="3">
        <v>59</v>
      </c>
      <c r="AG64" s="3">
        <f t="shared" si="8"/>
        <v>0.57859234999999998</v>
      </c>
      <c r="AH64" s="3">
        <f t="shared" si="9"/>
        <v>0.13365483284999999</v>
      </c>
    </row>
    <row r="65" spans="2:34" x14ac:dyDescent="0.25">
      <c r="B65" s="3">
        <v>49</v>
      </c>
      <c r="C65" s="63">
        <v>1.1559999999999999</v>
      </c>
      <c r="D65" s="64">
        <v>1940</v>
      </c>
      <c r="E65" s="61">
        <f t="shared" si="10"/>
        <v>1164</v>
      </c>
      <c r="F65" s="62">
        <f t="shared" si="11"/>
        <v>121.89379495928397</v>
      </c>
      <c r="AC65" s="3">
        <v>59</v>
      </c>
      <c r="AD65" s="3">
        <v>69.7</v>
      </c>
      <c r="AE65" s="3">
        <f t="shared" si="7"/>
        <v>13.940000000000001</v>
      </c>
      <c r="AF65" s="3">
        <v>60</v>
      </c>
      <c r="AG65" s="3">
        <f t="shared" si="8"/>
        <v>0.58839900000000001</v>
      </c>
      <c r="AH65" s="3">
        <f t="shared" si="9"/>
        <v>0.13592016900000001</v>
      </c>
    </row>
    <row r="66" spans="2:34" x14ac:dyDescent="0.25">
      <c r="B66" s="3">
        <v>50</v>
      </c>
      <c r="C66" s="63">
        <v>1.331</v>
      </c>
      <c r="D66" s="64">
        <v>2210</v>
      </c>
      <c r="E66" s="61">
        <f t="shared" si="10"/>
        <v>1326</v>
      </c>
      <c r="F66" s="62">
        <f t="shared" si="11"/>
        <v>138.85839528866885</v>
      </c>
      <c r="AC66" s="3">
        <v>60</v>
      </c>
      <c r="AD66" s="3">
        <v>72.8</v>
      </c>
      <c r="AE66" s="3">
        <f t="shared" si="7"/>
        <v>14.559999999999999</v>
      </c>
      <c r="AF66" s="3">
        <v>61</v>
      </c>
      <c r="AG66" s="3">
        <f t="shared" si="8"/>
        <v>0.59820565000000003</v>
      </c>
      <c r="AH66" s="3">
        <f t="shared" si="9"/>
        <v>0.13818550515000003</v>
      </c>
    </row>
    <row r="67" spans="2:34" x14ac:dyDescent="0.25">
      <c r="AC67" s="3">
        <v>61</v>
      </c>
      <c r="AD67" s="3">
        <v>73.2</v>
      </c>
      <c r="AE67" s="3">
        <f t="shared" si="7"/>
        <v>14.64</v>
      </c>
      <c r="AF67" s="3">
        <v>62</v>
      </c>
      <c r="AG67" s="3">
        <f t="shared" si="8"/>
        <v>0.60801229999999995</v>
      </c>
      <c r="AH67" s="3">
        <f t="shared" si="9"/>
        <v>0.14045084129999999</v>
      </c>
    </row>
    <row r="68" spans="2:34" x14ac:dyDescent="0.25">
      <c r="AC68" s="3">
        <v>62</v>
      </c>
      <c r="AD68" s="3">
        <v>73.5</v>
      </c>
      <c r="AE68" s="3">
        <f t="shared" si="7"/>
        <v>14.7</v>
      </c>
      <c r="AF68" s="3">
        <v>63</v>
      </c>
      <c r="AG68" s="3">
        <f t="shared" si="8"/>
        <v>0.61781894999999998</v>
      </c>
      <c r="AH68" s="3">
        <f t="shared" si="9"/>
        <v>0.14271617745000001</v>
      </c>
    </row>
    <row r="69" spans="2:34" x14ac:dyDescent="0.25">
      <c r="AC69" s="3">
        <v>63</v>
      </c>
      <c r="AD69" s="3">
        <v>74</v>
      </c>
      <c r="AE69" s="3">
        <f t="shared" si="7"/>
        <v>14.8</v>
      </c>
      <c r="AF69" s="3">
        <v>64</v>
      </c>
      <c r="AG69" s="3">
        <f t="shared" si="8"/>
        <v>0.62762560000000001</v>
      </c>
      <c r="AH69" s="3">
        <f t="shared" si="9"/>
        <v>0.1449815136</v>
      </c>
    </row>
    <row r="70" spans="2:34" x14ac:dyDescent="0.25">
      <c r="AC70" s="3">
        <v>64</v>
      </c>
      <c r="AD70" s="3">
        <v>75.5</v>
      </c>
      <c r="AE70" s="3">
        <f t="shared" si="7"/>
        <v>15.1</v>
      </c>
      <c r="AF70" s="3">
        <v>65</v>
      </c>
      <c r="AG70" s="3">
        <f t="shared" si="8"/>
        <v>0.63743224999999992</v>
      </c>
      <c r="AH70" s="3">
        <f t="shared" si="9"/>
        <v>0.14724684974999999</v>
      </c>
    </row>
    <row r="71" spans="2:34" x14ac:dyDescent="0.25">
      <c r="AC71" s="3">
        <v>65</v>
      </c>
      <c r="AD71" s="3">
        <v>76.8</v>
      </c>
      <c r="AE71" s="3">
        <f t="shared" si="7"/>
        <v>15.36</v>
      </c>
      <c r="AF71" s="3">
        <v>66</v>
      </c>
      <c r="AG71" s="3">
        <f t="shared" si="8"/>
        <v>0.64723889999999995</v>
      </c>
      <c r="AH71" s="3">
        <f t="shared" si="9"/>
        <v>0.14951218590000001</v>
      </c>
    </row>
    <row r="72" spans="2:34" x14ac:dyDescent="0.25">
      <c r="AC72" s="3">
        <v>66</v>
      </c>
      <c r="AD72" s="3">
        <v>77.099999999999994</v>
      </c>
      <c r="AE72" s="3">
        <f t="shared" ref="AE72:AE80" si="12">AD72/5</f>
        <v>15.419999999999998</v>
      </c>
      <c r="AF72" s="3">
        <v>67</v>
      </c>
      <c r="AG72" s="3">
        <f t="shared" ref="AG72:AG80" si="13">AF72*9.80665/1000</f>
        <v>0.65704554999999998</v>
      </c>
      <c r="AH72" s="3">
        <f t="shared" ref="AH72:AH80" si="14">AG72*23.1/100</f>
        <v>0.15177752205</v>
      </c>
    </row>
    <row r="73" spans="2:34" x14ac:dyDescent="0.25">
      <c r="AC73" s="3">
        <v>67</v>
      </c>
      <c r="AD73" s="3">
        <v>79.599999999999994</v>
      </c>
      <c r="AE73" s="3">
        <f t="shared" si="12"/>
        <v>15.919999999999998</v>
      </c>
      <c r="AF73" s="3">
        <v>68</v>
      </c>
      <c r="AG73" s="3">
        <f t="shared" si="13"/>
        <v>0.6668521999999999</v>
      </c>
      <c r="AH73" s="3">
        <f t="shared" si="14"/>
        <v>0.15404285819999999</v>
      </c>
    </row>
    <row r="74" spans="2:34" x14ac:dyDescent="0.25">
      <c r="AC74" s="3">
        <v>68</v>
      </c>
      <c r="AD74" s="3">
        <v>80.8</v>
      </c>
      <c r="AE74" s="3">
        <f t="shared" si="12"/>
        <v>16.16</v>
      </c>
      <c r="AF74" s="3">
        <v>69</v>
      </c>
      <c r="AG74" s="3">
        <f t="shared" si="13"/>
        <v>0.67665884999999992</v>
      </c>
      <c r="AH74" s="3">
        <f t="shared" si="14"/>
        <v>0.15630819434999998</v>
      </c>
    </row>
    <row r="75" spans="2:34" x14ac:dyDescent="0.25">
      <c r="AC75" s="3">
        <v>69</v>
      </c>
      <c r="AD75" s="3">
        <v>81.3</v>
      </c>
      <c r="AE75" s="3">
        <f t="shared" si="12"/>
        <v>16.259999999999998</v>
      </c>
      <c r="AF75" s="3">
        <v>70</v>
      </c>
      <c r="AG75" s="3">
        <f t="shared" si="13"/>
        <v>0.68646549999999995</v>
      </c>
      <c r="AH75" s="3">
        <f t="shared" si="14"/>
        <v>0.1585735305</v>
      </c>
    </row>
    <row r="76" spans="2:34" x14ac:dyDescent="0.25">
      <c r="AC76" s="3">
        <v>70</v>
      </c>
      <c r="AD76" s="3">
        <v>81.5</v>
      </c>
      <c r="AE76" s="3">
        <f t="shared" si="12"/>
        <v>16.3</v>
      </c>
      <c r="AF76" s="3">
        <v>71</v>
      </c>
      <c r="AG76" s="3">
        <f t="shared" si="13"/>
        <v>0.69627214999999998</v>
      </c>
      <c r="AH76" s="3">
        <f t="shared" si="14"/>
        <v>0.16083886665000002</v>
      </c>
    </row>
    <row r="77" spans="2:34" x14ac:dyDescent="0.25">
      <c r="AC77" s="3">
        <v>71</v>
      </c>
      <c r="AD77" s="3">
        <v>84.1</v>
      </c>
      <c r="AE77" s="3">
        <f t="shared" si="12"/>
        <v>16.82</v>
      </c>
      <c r="AF77" s="3">
        <v>72</v>
      </c>
      <c r="AG77" s="3">
        <f t="shared" si="13"/>
        <v>0.70607880000000001</v>
      </c>
      <c r="AH77" s="3">
        <f t="shared" si="14"/>
        <v>0.16310420280000001</v>
      </c>
    </row>
    <row r="78" spans="2:34" x14ac:dyDescent="0.25">
      <c r="AC78" s="3">
        <v>72</v>
      </c>
      <c r="AD78" s="3">
        <v>84.6</v>
      </c>
      <c r="AE78" s="3">
        <f t="shared" si="12"/>
        <v>16.919999999999998</v>
      </c>
      <c r="AF78" s="3">
        <v>73</v>
      </c>
      <c r="AG78" s="3">
        <f t="shared" si="13"/>
        <v>0.71588545000000003</v>
      </c>
      <c r="AH78" s="3">
        <f t="shared" si="14"/>
        <v>0.16536953895000003</v>
      </c>
    </row>
    <row r="79" spans="2:34" x14ac:dyDescent="0.25">
      <c r="AC79" s="3">
        <v>73</v>
      </c>
      <c r="AD79" s="3">
        <v>87</v>
      </c>
      <c r="AE79" s="3">
        <f t="shared" si="12"/>
        <v>17.399999999999999</v>
      </c>
      <c r="AF79" s="3">
        <v>74</v>
      </c>
      <c r="AG79" s="3">
        <f t="shared" si="13"/>
        <v>0.72569209999999995</v>
      </c>
      <c r="AH79" s="3">
        <f t="shared" si="14"/>
        <v>0.1676348751</v>
      </c>
    </row>
    <row r="80" spans="2:34" x14ac:dyDescent="0.25">
      <c r="AC80" s="3">
        <v>74</v>
      </c>
      <c r="AD80" s="3">
        <v>87.4</v>
      </c>
      <c r="AE80" s="3">
        <f t="shared" si="12"/>
        <v>17.48</v>
      </c>
      <c r="AF80" s="3">
        <v>75</v>
      </c>
      <c r="AG80" s="3">
        <f t="shared" si="13"/>
        <v>0.73549874999999998</v>
      </c>
      <c r="AH80" s="3">
        <f t="shared" si="14"/>
        <v>0.16990021125000002</v>
      </c>
    </row>
  </sheetData>
  <sortState xmlns:xlrd2="http://schemas.microsoft.com/office/spreadsheetml/2017/richdata2" ref="P7:Z23">
    <sortCondition ref="P7:P23"/>
  </sortState>
  <mergeCells count="17">
    <mergeCell ref="B14:F14"/>
    <mergeCell ref="H30:I30"/>
    <mergeCell ref="K30:L30"/>
    <mergeCell ref="AC5:AH5"/>
    <mergeCell ref="B12:E12"/>
    <mergeCell ref="B5:F5"/>
    <mergeCell ref="H5:L5"/>
    <mergeCell ref="H6:J6"/>
    <mergeCell ref="H7:J7"/>
    <mergeCell ref="H8:J8"/>
    <mergeCell ref="W27:X27"/>
    <mergeCell ref="P5:Z5"/>
    <mergeCell ref="AN8:AP8"/>
    <mergeCell ref="AK5:AL5"/>
    <mergeCell ref="AN5:AP5"/>
    <mergeCell ref="AN6:AP6"/>
    <mergeCell ref="AN7:AP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944B-903D-4399-B4DA-789CCC9B2813}">
  <dimension ref="D4:AI74"/>
  <sheetViews>
    <sheetView tabSelected="1" zoomScale="70" zoomScaleNormal="70" workbookViewId="0">
      <selection activeCell="AF74" sqref="AF74:AG74"/>
    </sheetView>
  </sheetViews>
  <sheetFormatPr defaultColWidth="9.28515625" defaultRowHeight="15" x14ac:dyDescent="0.25"/>
  <cols>
    <col min="1" max="3" width="9.28515625" style="20"/>
    <col min="4" max="4" width="24.85546875" style="20" bestFit="1" customWidth="1"/>
    <col min="5" max="5" width="27.5703125" style="20" bestFit="1" customWidth="1"/>
    <col min="6" max="6" width="12" style="20" bestFit="1" customWidth="1"/>
    <col min="7" max="7" width="20.42578125" style="20" bestFit="1" customWidth="1"/>
    <col min="8" max="8" width="12" style="20" bestFit="1" customWidth="1"/>
    <col min="9" max="9" width="14.28515625" style="20" bestFit="1" customWidth="1"/>
    <col min="10" max="10" width="8" style="20" bestFit="1" customWidth="1"/>
    <col min="11" max="16" width="9.28515625" style="20"/>
    <col min="17" max="25" width="8.5703125" style="20" customWidth="1"/>
    <col min="26" max="26" width="6.140625" style="20" bestFit="1" customWidth="1"/>
    <col min="27" max="27" width="8.85546875" style="20" bestFit="1" customWidth="1"/>
    <col min="28" max="28" width="3.7109375" style="20" bestFit="1" customWidth="1"/>
    <col min="29" max="16384" width="9.28515625" style="20"/>
  </cols>
  <sheetData>
    <row r="4" spans="4:35" ht="15.75" thickBot="1" x14ac:dyDescent="0.3">
      <c r="H4" s="77" t="s">
        <v>61</v>
      </c>
      <c r="I4" s="77"/>
      <c r="J4" s="77"/>
    </row>
    <row r="5" spans="4:35" ht="15.75" thickBot="1" x14ac:dyDescent="0.3">
      <c r="D5" s="23" t="s">
        <v>53</v>
      </c>
      <c r="E5" s="24" t="s">
        <v>54</v>
      </c>
      <c r="F5" s="25" t="s">
        <v>52</v>
      </c>
      <c r="H5" s="23" t="s">
        <v>56</v>
      </c>
      <c r="I5" s="23" t="s">
        <v>57</v>
      </c>
      <c r="J5" s="23" t="s">
        <v>58</v>
      </c>
      <c r="Q5" s="74" t="s">
        <v>42</v>
      </c>
      <c r="R5" s="75"/>
      <c r="S5" s="75"/>
      <c r="T5" s="75"/>
      <c r="U5" s="75"/>
      <c r="V5" s="75"/>
      <c r="W5" s="75"/>
      <c r="X5" s="75"/>
      <c r="Y5" s="76"/>
      <c r="Z5" s="42"/>
      <c r="AA5" s="42"/>
      <c r="AB5" s="42"/>
      <c r="AD5" s="71" t="s">
        <v>42</v>
      </c>
      <c r="AE5" s="71"/>
      <c r="AF5" s="71"/>
      <c r="AG5" s="71"/>
      <c r="AH5" s="71"/>
    </row>
    <row r="6" spans="4:35" x14ac:dyDescent="0.25">
      <c r="D6" s="29">
        <v>12</v>
      </c>
      <c r="E6" s="30">
        <v>7.56</v>
      </c>
      <c r="F6" s="26">
        <f>(D6-E6)*1000/E8</f>
        <v>9.4468085106382986</v>
      </c>
      <c r="H6" s="27">
        <f>F6</f>
        <v>9.4468085106382986</v>
      </c>
      <c r="I6" s="23" t="s">
        <v>59</v>
      </c>
      <c r="J6" s="28" t="s">
        <v>60</v>
      </c>
      <c r="Q6" s="37" t="s">
        <v>1</v>
      </c>
      <c r="R6" s="38" t="s">
        <v>44</v>
      </c>
      <c r="S6" s="38" t="s">
        <v>43</v>
      </c>
      <c r="T6" s="37" t="s">
        <v>1</v>
      </c>
      <c r="U6" s="38" t="s">
        <v>44</v>
      </c>
      <c r="V6" s="38" t="s">
        <v>43</v>
      </c>
      <c r="W6" s="37" t="s">
        <v>1</v>
      </c>
      <c r="X6" s="38" t="s">
        <v>44</v>
      </c>
      <c r="Y6" s="38" t="s">
        <v>43</v>
      </c>
      <c r="AD6" s="4" t="s">
        <v>1</v>
      </c>
      <c r="AE6" s="4" t="s">
        <v>44</v>
      </c>
      <c r="AF6" s="4" t="s">
        <v>43</v>
      </c>
      <c r="AG6" s="4" t="s">
        <v>12</v>
      </c>
      <c r="AH6" s="4" t="s">
        <v>30</v>
      </c>
      <c r="AI6" s="20" t="s">
        <v>40</v>
      </c>
    </row>
    <row r="7" spans="4:35" x14ac:dyDescent="0.25">
      <c r="Q7" s="39">
        <v>1</v>
      </c>
      <c r="R7" s="3">
        <v>200</v>
      </c>
      <c r="S7" s="3">
        <v>4.6300000000000001E-2</v>
      </c>
      <c r="T7" s="39">
        <v>16</v>
      </c>
      <c r="U7" s="3">
        <v>6200</v>
      </c>
      <c r="V7" s="3">
        <v>1.3680000000000001</v>
      </c>
      <c r="W7" s="39">
        <v>31</v>
      </c>
      <c r="X7" s="3">
        <v>13000</v>
      </c>
      <c r="Y7" s="3">
        <v>2.8450000000000002</v>
      </c>
      <c r="AD7" s="3">
        <v>1</v>
      </c>
      <c r="AE7" s="3">
        <v>0</v>
      </c>
      <c r="AF7" s="3">
        <v>0</v>
      </c>
      <c r="AG7" s="3">
        <f t="shared" ref="AG7:AG21" si="0">AE7*0.6</f>
        <v>0</v>
      </c>
      <c r="AH7" s="3">
        <f t="shared" ref="AH7:AH21" si="1">(AG7*2*PI())/60</f>
        <v>0</v>
      </c>
      <c r="AI7" s="20" t="e">
        <f t="shared" ref="AI7:AI21" si="2">AF7/($J$41*$K$41*$L$41*AE7)</f>
        <v>#DIV/0!</v>
      </c>
    </row>
    <row r="8" spans="4:35" x14ac:dyDescent="0.25">
      <c r="D8" s="25" t="s">
        <v>55</v>
      </c>
      <c r="E8" s="25">
        <v>470</v>
      </c>
      <c r="H8" s="69" t="s">
        <v>62</v>
      </c>
      <c r="I8" s="69"/>
      <c r="J8" s="69"/>
      <c r="Q8" s="39">
        <v>2</v>
      </c>
      <c r="R8" s="3">
        <v>600</v>
      </c>
      <c r="S8" s="3">
        <v>0.13619999999999999</v>
      </c>
      <c r="T8" s="39">
        <v>17</v>
      </c>
      <c r="U8" s="3">
        <v>6600</v>
      </c>
      <c r="V8" s="3">
        <v>1.4550000000000001</v>
      </c>
      <c r="W8" s="39">
        <v>32</v>
      </c>
      <c r="X8" s="3">
        <v>13500</v>
      </c>
      <c r="Y8" s="3">
        <v>2.9529999999999998</v>
      </c>
      <c r="AD8" s="3">
        <v>2</v>
      </c>
      <c r="AE8" s="3">
        <v>200</v>
      </c>
      <c r="AF8" s="3">
        <v>4.6300000000000001E-2</v>
      </c>
      <c r="AG8" s="3">
        <f t="shared" si="0"/>
        <v>120</v>
      </c>
      <c r="AH8" s="3">
        <f t="shared" si="1"/>
        <v>12.566370614359171</v>
      </c>
      <c r="AI8" s="36">
        <f t="shared" si="2"/>
        <v>0.94293127395513865</v>
      </c>
    </row>
    <row r="9" spans="4:35" x14ac:dyDescent="0.25">
      <c r="D9" s="25" t="s">
        <v>65</v>
      </c>
      <c r="E9" s="25">
        <v>20</v>
      </c>
      <c r="H9" s="69">
        <f>((D6-E6)^2)*1000/E8</f>
        <v>41.943829787234044</v>
      </c>
      <c r="I9" s="69"/>
      <c r="J9" s="69"/>
      <c r="Q9" s="39">
        <v>3</v>
      </c>
      <c r="R9" s="3">
        <v>1000</v>
      </c>
      <c r="S9" s="3">
        <v>0.22589999999999999</v>
      </c>
      <c r="T9" s="39">
        <v>18</v>
      </c>
      <c r="U9" s="3">
        <v>7000</v>
      </c>
      <c r="V9" s="3">
        <v>1.542</v>
      </c>
      <c r="W9" s="39">
        <v>33</v>
      </c>
      <c r="X9" s="3">
        <v>14000</v>
      </c>
      <c r="Y9" s="3">
        <v>3.0619999999999998</v>
      </c>
      <c r="AD9" s="3">
        <v>3</v>
      </c>
      <c r="AE9" s="3">
        <v>400</v>
      </c>
      <c r="AF9" s="3">
        <v>9.1399999999999995E-2</v>
      </c>
      <c r="AG9" s="3">
        <f t="shared" si="0"/>
        <v>240</v>
      </c>
      <c r="AH9" s="3">
        <f t="shared" si="1"/>
        <v>25.132741228718341</v>
      </c>
      <c r="AI9" s="36">
        <f t="shared" si="2"/>
        <v>0.93071186219762059</v>
      </c>
    </row>
    <row r="10" spans="4:35" x14ac:dyDescent="0.25">
      <c r="Q10" s="39">
        <v>4</v>
      </c>
      <c r="R10" s="3">
        <v>1400</v>
      </c>
      <c r="S10" s="3">
        <v>0.3145</v>
      </c>
      <c r="T10" s="39">
        <v>19</v>
      </c>
      <c r="U10" s="3">
        <v>7400</v>
      </c>
      <c r="V10" s="3">
        <v>1.625</v>
      </c>
      <c r="W10" s="39">
        <v>34</v>
      </c>
      <c r="X10" s="3">
        <v>14500</v>
      </c>
      <c r="Y10" s="3">
        <v>3.17</v>
      </c>
      <c r="AD10" s="3">
        <v>4</v>
      </c>
      <c r="AE10" s="3">
        <v>600</v>
      </c>
      <c r="AF10" s="3">
        <v>0.13619999999999999</v>
      </c>
      <c r="AG10" s="3">
        <f t="shared" si="0"/>
        <v>360</v>
      </c>
      <c r="AH10" s="3">
        <f t="shared" si="1"/>
        <v>37.699111843077517</v>
      </c>
      <c r="AI10" s="36">
        <f t="shared" si="2"/>
        <v>0.92460215631886156</v>
      </c>
    </row>
    <row r="11" spans="4:35" x14ac:dyDescent="0.25">
      <c r="D11" s="78" t="s">
        <v>63</v>
      </c>
      <c r="E11" s="78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39">
        <v>5</v>
      </c>
      <c r="R11" s="3">
        <v>1800</v>
      </c>
      <c r="S11" s="3">
        <v>0.40360000000000001</v>
      </c>
      <c r="T11" s="39">
        <v>20</v>
      </c>
      <c r="U11" s="3">
        <v>7800</v>
      </c>
      <c r="V11" s="3">
        <v>1.716</v>
      </c>
      <c r="W11" s="39">
        <v>35</v>
      </c>
      <c r="X11" s="3">
        <v>15000</v>
      </c>
      <c r="Y11" s="3">
        <v>3.2789999999999999</v>
      </c>
      <c r="AD11" s="3">
        <v>5</v>
      </c>
      <c r="AE11" s="3">
        <v>800</v>
      </c>
      <c r="AF11" s="3">
        <v>0.18110000000000001</v>
      </c>
      <c r="AG11" s="3">
        <f t="shared" si="0"/>
        <v>480</v>
      </c>
      <c r="AH11" s="3">
        <f t="shared" si="1"/>
        <v>50.265482457436683</v>
      </c>
      <c r="AI11" s="36">
        <f t="shared" si="2"/>
        <v>0.92205644553604549</v>
      </c>
    </row>
    <row r="12" spans="4:35" x14ac:dyDescent="0.25">
      <c r="D12" s="24" t="s">
        <v>64</v>
      </c>
      <c r="E12" s="31">
        <v>5</v>
      </c>
      <c r="F12" s="13"/>
      <c r="G12" s="13"/>
      <c r="H12" s="13"/>
      <c r="I12" s="13"/>
      <c r="J12" s="13"/>
      <c r="K12" s="13"/>
      <c r="L12" s="21"/>
      <c r="M12" s="13"/>
      <c r="N12" s="13"/>
      <c r="O12" s="13"/>
      <c r="P12" s="13"/>
      <c r="Q12" s="39">
        <v>6</v>
      </c>
      <c r="R12" s="3">
        <v>2200</v>
      </c>
      <c r="S12" s="3">
        <v>0.4919</v>
      </c>
      <c r="T12" s="39">
        <v>21</v>
      </c>
      <c r="U12" s="3">
        <v>8200</v>
      </c>
      <c r="V12" s="3">
        <v>1.8029999999999999</v>
      </c>
      <c r="W12" s="39">
        <v>36</v>
      </c>
      <c r="X12" s="3">
        <v>15500</v>
      </c>
      <c r="Y12" s="3">
        <v>3.387</v>
      </c>
      <c r="AD12" s="3">
        <v>6</v>
      </c>
      <c r="AE12" s="3">
        <v>1000</v>
      </c>
      <c r="AF12" s="3">
        <v>0.22589999999999999</v>
      </c>
      <c r="AG12" s="3">
        <f t="shared" si="0"/>
        <v>600</v>
      </c>
      <c r="AH12" s="3">
        <f t="shared" si="1"/>
        <v>62.831853071795862</v>
      </c>
      <c r="AI12" s="36">
        <f t="shared" si="2"/>
        <v>0.92012170534110505</v>
      </c>
    </row>
    <row r="13" spans="4:35" x14ac:dyDescent="0.25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9">
        <v>7</v>
      </c>
      <c r="R13" s="3">
        <v>2600</v>
      </c>
      <c r="S13" s="3">
        <v>0.58050000000000002</v>
      </c>
      <c r="T13" s="39">
        <v>22</v>
      </c>
      <c r="U13" s="3">
        <v>8600</v>
      </c>
      <c r="V13" s="3">
        <v>1.89</v>
      </c>
      <c r="W13" s="39">
        <v>37</v>
      </c>
      <c r="X13" s="3">
        <v>16000</v>
      </c>
      <c r="Y13" s="3">
        <v>3.4950000000000001</v>
      </c>
      <c r="AD13" s="3">
        <v>7</v>
      </c>
      <c r="AE13" s="3">
        <v>1200</v>
      </c>
      <c r="AF13" s="3">
        <v>0.27039999999999997</v>
      </c>
      <c r="AG13" s="3">
        <f t="shared" si="0"/>
        <v>720</v>
      </c>
      <c r="AH13" s="3">
        <f t="shared" si="1"/>
        <v>75.398223686155035</v>
      </c>
      <c r="AI13" s="36">
        <f t="shared" si="2"/>
        <v>0.91781359423135145</v>
      </c>
    </row>
    <row r="14" spans="4:35" x14ac:dyDescent="0.25"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9">
        <v>8</v>
      </c>
      <c r="R14" s="3">
        <v>3000</v>
      </c>
      <c r="S14" s="3">
        <v>0.66800000000000004</v>
      </c>
      <c r="T14" s="39">
        <v>23</v>
      </c>
      <c r="U14" s="3">
        <v>9000</v>
      </c>
      <c r="V14" s="3">
        <v>1.978</v>
      </c>
      <c r="W14" s="39">
        <v>38</v>
      </c>
      <c r="X14" s="3">
        <v>16500</v>
      </c>
      <c r="Y14" s="3">
        <v>3.6030000000000002</v>
      </c>
      <c r="AD14" s="3">
        <v>8</v>
      </c>
      <c r="AE14" s="3">
        <v>1400</v>
      </c>
      <c r="AF14" s="3">
        <v>0.3145</v>
      </c>
      <c r="AG14" s="3">
        <f t="shared" si="0"/>
        <v>840</v>
      </c>
      <c r="AH14" s="3">
        <f t="shared" si="1"/>
        <v>87.964594300514207</v>
      </c>
      <c r="AI14" s="36">
        <f t="shared" si="2"/>
        <v>0.91500118993795465</v>
      </c>
    </row>
    <row r="15" spans="4:35" x14ac:dyDescent="0.25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9">
        <v>9</v>
      </c>
      <c r="R15" s="3">
        <v>3400</v>
      </c>
      <c r="S15" s="3">
        <v>0.75600000000000001</v>
      </c>
      <c r="T15" s="39">
        <v>24</v>
      </c>
      <c r="U15" s="3">
        <v>9400</v>
      </c>
      <c r="V15" s="3">
        <v>2.0649999999999999</v>
      </c>
      <c r="W15" s="39">
        <v>39</v>
      </c>
      <c r="X15" s="3">
        <v>17000</v>
      </c>
      <c r="Y15" s="3">
        <v>3.7120000000000002</v>
      </c>
      <c r="AD15" s="3">
        <v>9</v>
      </c>
      <c r="AE15" s="3">
        <v>1600</v>
      </c>
      <c r="AF15" s="3">
        <v>0.35930000000000001</v>
      </c>
      <c r="AG15" s="3">
        <f t="shared" si="0"/>
        <v>960</v>
      </c>
      <c r="AH15" s="3">
        <f t="shared" si="1"/>
        <v>100.53096491487337</v>
      </c>
      <c r="AI15" s="36">
        <f t="shared" si="2"/>
        <v>0.91467388426587826</v>
      </c>
    </row>
    <row r="16" spans="4:35" x14ac:dyDescent="0.25">
      <c r="D16" s="20" t="s">
        <v>66</v>
      </c>
      <c r="E16" s="20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9">
        <v>10</v>
      </c>
      <c r="R16" s="3">
        <v>3800</v>
      </c>
      <c r="S16" s="3">
        <v>0.84399999999999997</v>
      </c>
      <c r="T16" s="39">
        <v>25</v>
      </c>
      <c r="U16" s="3">
        <v>10000</v>
      </c>
      <c r="V16" s="3">
        <v>2.1949999999999998</v>
      </c>
      <c r="W16" s="39">
        <v>40</v>
      </c>
      <c r="X16" s="3">
        <v>17500</v>
      </c>
      <c r="Y16" s="3">
        <v>3.819</v>
      </c>
      <c r="AD16" s="3">
        <v>10</v>
      </c>
      <c r="AE16" s="3">
        <v>1800</v>
      </c>
      <c r="AF16" s="3">
        <v>0.40360000000000001</v>
      </c>
      <c r="AG16" s="3">
        <f t="shared" si="0"/>
        <v>1080</v>
      </c>
      <c r="AH16" s="3">
        <f t="shared" si="1"/>
        <v>113.09733552923255</v>
      </c>
      <c r="AI16" s="36">
        <f t="shared" si="2"/>
        <v>0.91328788617301171</v>
      </c>
    </row>
    <row r="17" spans="4:35" x14ac:dyDescent="0.25">
      <c r="D17" s="20" t="s">
        <v>67</v>
      </c>
      <c r="E17" s="20">
        <f>E12/(E6*(E9*1000)*E16)</f>
        <v>3.6743092298647854E-5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9">
        <v>11</v>
      </c>
      <c r="R17" s="3">
        <v>4200</v>
      </c>
      <c r="S17" s="3">
        <v>0.93200000000000005</v>
      </c>
      <c r="T17" s="39">
        <v>26</v>
      </c>
      <c r="U17" s="3">
        <v>10500</v>
      </c>
      <c r="V17" s="3">
        <v>2.3039999999999998</v>
      </c>
      <c r="W17" s="39">
        <v>41</v>
      </c>
      <c r="X17" s="3">
        <v>18000</v>
      </c>
      <c r="Y17" s="3">
        <v>3.927</v>
      </c>
      <c r="Z17" s="22"/>
      <c r="AD17" s="3">
        <v>11</v>
      </c>
      <c r="AE17" s="3">
        <v>2000</v>
      </c>
      <c r="AF17" s="3">
        <v>0.44769999999999999</v>
      </c>
      <c r="AG17" s="3">
        <f t="shared" si="0"/>
        <v>1200</v>
      </c>
      <c r="AH17" s="3">
        <f t="shared" si="1"/>
        <v>125.66370614359172</v>
      </c>
      <c r="AI17" s="36">
        <f t="shared" si="2"/>
        <v>0.91177177397346776</v>
      </c>
    </row>
    <row r="18" spans="4:35" x14ac:dyDescent="0.25"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9">
        <v>12</v>
      </c>
      <c r="R18" s="3">
        <v>4600</v>
      </c>
      <c r="S18" s="3">
        <v>1.0189999999999999</v>
      </c>
      <c r="T18" s="39">
        <v>27</v>
      </c>
      <c r="U18" s="3">
        <v>11000</v>
      </c>
      <c r="V18" s="3">
        <v>2.4119999999999999</v>
      </c>
      <c r="W18" s="39">
        <v>42</v>
      </c>
      <c r="X18" s="3">
        <v>18500</v>
      </c>
      <c r="Y18" s="3">
        <v>4.0359999999999996</v>
      </c>
      <c r="AD18" s="3">
        <v>12</v>
      </c>
      <c r="AE18" s="3">
        <v>2200</v>
      </c>
      <c r="AF18" s="3">
        <v>0.4919</v>
      </c>
      <c r="AG18" s="3">
        <f t="shared" si="0"/>
        <v>1320</v>
      </c>
      <c r="AH18" s="3">
        <f t="shared" si="1"/>
        <v>138.23007675795088</v>
      </c>
      <c r="AI18" s="36">
        <f t="shared" si="2"/>
        <v>0.91071646113986382</v>
      </c>
    </row>
    <row r="19" spans="4:35" ht="14.25" customHeight="1" x14ac:dyDescent="0.25"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9">
        <v>13</v>
      </c>
      <c r="R19" s="3">
        <v>5000</v>
      </c>
      <c r="S19" s="3">
        <v>1.107</v>
      </c>
      <c r="T19" s="39">
        <v>28</v>
      </c>
      <c r="U19" s="3">
        <v>11500</v>
      </c>
      <c r="V19" s="3">
        <v>2.5209999999999999</v>
      </c>
      <c r="W19" s="39">
        <v>43</v>
      </c>
      <c r="X19" s="3">
        <v>19000</v>
      </c>
      <c r="Y19" s="3">
        <v>4.1440000000000001</v>
      </c>
      <c r="AD19" s="3">
        <v>13</v>
      </c>
      <c r="AE19" s="3">
        <v>2400</v>
      </c>
      <c r="AF19" s="3">
        <v>0.53600000000000003</v>
      </c>
      <c r="AG19" s="3">
        <f t="shared" si="0"/>
        <v>1440</v>
      </c>
      <c r="AH19" s="3">
        <f t="shared" si="1"/>
        <v>150.79644737231007</v>
      </c>
      <c r="AI19" s="36">
        <f t="shared" si="2"/>
        <v>0.90966731972633963</v>
      </c>
    </row>
    <row r="20" spans="4:35" ht="14.25" customHeigh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9">
        <v>14</v>
      </c>
      <c r="R20" s="3">
        <v>5400</v>
      </c>
      <c r="S20" s="3">
        <v>1.194</v>
      </c>
      <c r="T20" s="39">
        <v>29</v>
      </c>
      <c r="U20" s="3">
        <v>12000</v>
      </c>
      <c r="V20" s="3">
        <v>2.629</v>
      </c>
      <c r="W20" s="39">
        <v>44</v>
      </c>
      <c r="X20" s="3">
        <v>19500</v>
      </c>
      <c r="Y20" s="3">
        <v>4.2519999999999998</v>
      </c>
      <c r="AD20" s="3">
        <v>14</v>
      </c>
      <c r="AE20" s="3">
        <v>2600</v>
      </c>
      <c r="AF20" s="3">
        <v>0.58050000000000002</v>
      </c>
      <c r="AG20" s="3">
        <f t="shared" si="0"/>
        <v>1560</v>
      </c>
      <c r="AH20" s="3">
        <f t="shared" si="1"/>
        <v>163.36281798666923</v>
      </c>
      <c r="AI20" s="36">
        <f t="shared" si="2"/>
        <v>0.90940622118451231</v>
      </c>
    </row>
    <row r="21" spans="4:35" ht="16.5" customHeight="1" thickBo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40">
        <v>15</v>
      </c>
      <c r="R21" s="41">
        <v>5800</v>
      </c>
      <c r="S21" s="41">
        <v>1.2809999999999999</v>
      </c>
      <c r="T21" s="40">
        <v>30</v>
      </c>
      <c r="U21" s="41">
        <v>12500</v>
      </c>
      <c r="V21" s="41">
        <v>2.7370000000000001</v>
      </c>
      <c r="W21" s="40">
        <v>45</v>
      </c>
      <c r="X21" s="41">
        <v>20000</v>
      </c>
      <c r="Y21" s="41">
        <v>4.3369999999999997</v>
      </c>
      <c r="AD21" s="3">
        <v>15</v>
      </c>
      <c r="AE21" s="3">
        <v>2800</v>
      </c>
      <c r="AF21" s="3">
        <v>0.624</v>
      </c>
      <c r="AG21" s="3">
        <f t="shared" si="0"/>
        <v>1680</v>
      </c>
      <c r="AH21" s="3">
        <f t="shared" si="1"/>
        <v>175.92918860102841</v>
      </c>
      <c r="AI21" s="36">
        <f t="shared" si="2"/>
        <v>0.90772773055847966</v>
      </c>
    </row>
    <row r="22" spans="4:35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U22" s="36"/>
      <c r="V22" s="36"/>
      <c r="W22" s="36"/>
      <c r="X22" s="36"/>
      <c r="AD22" s="3">
        <v>16</v>
      </c>
      <c r="AE22" s="3">
        <v>3000</v>
      </c>
      <c r="AF22" s="3">
        <v>0.66800000000000004</v>
      </c>
      <c r="AG22" s="3">
        <f t="shared" ref="AG22:AG53" si="3">AE22*0.6</f>
        <v>1800</v>
      </c>
      <c r="AH22" s="3">
        <f t="shared" ref="AH22:AH53" si="4">(AG22*2*PI())/60</f>
        <v>188.49555921538757</v>
      </c>
      <c r="AI22" s="36">
        <f t="shared" ref="AI22:AI53" si="5">AF22/($J$41*$K$41*$L$41*AE22)</f>
        <v>0.90695189489133565</v>
      </c>
    </row>
    <row r="23" spans="4:35" x14ac:dyDescent="0.25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U23" s="36"/>
      <c r="V23" s="36"/>
      <c r="W23" s="36"/>
      <c r="X23" s="36"/>
      <c r="AD23" s="3">
        <v>17</v>
      </c>
      <c r="AE23" s="3">
        <v>3200</v>
      </c>
      <c r="AF23" s="3">
        <v>0.71199999999999997</v>
      </c>
      <c r="AG23" s="3">
        <f t="shared" si="3"/>
        <v>1920</v>
      </c>
      <c r="AH23" s="3">
        <f t="shared" si="4"/>
        <v>201.06192982974673</v>
      </c>
      <c r="AI23" s="36">
        <f t="shared" si="5"/>
        <v>0.90627303868258458</v>
      </c>
    </row>
    <row r="24" spans="4:35" x14ac:dyDescent="0.25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U24" s="36"/>
      <c r="V24" s="36"/>
      <c r="W24" s="36"/>
      <c r="X24" s="36"/>
      <c r="AD24" s="3">
        <v>18</v>
      </c>
      <c r="AE24" s="3">
        <v>3400</v>
      </c>
      <c r="AF24" s="3">
        <v>0.75600000000000001</v>
      </c>
      <c r="AG24" s="3">
        <f t="shared" si="3"/>
        <v>2040</v>
      </c>
      <c r="AH24" s="3">
        <f t="shared" si="4"/>
        <v>213.62830044410595</v>
      </c>
      <c r="AI24" s="36">
        <f t="shared" si="5"/>
        <v>0.90567404791015726</v>
      </c>
    </row>
    <row r="25" spans="4:35" x14ac:dyDescent="0.25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U25" s="36"/>
      <c r="V25" s="36"/>
      <c r="W25" s="36"/>
      <c r="X25" s="36"/>
      <c r="AD25" s="3">
        <v>19</v>
      </c>
      <c r="AE25" s="3">
        <v>3600</v>
      </c>
      <c r="AF25" s="3">
        <v>0.8</v>
      </c>
      <c r="AG25" s="3">
        <f t="shared" si="3"/>
        <v>2160</v>
      </c>
      <c r="AH25" s="3">
        <f t="shared" si="4"/>
        <v>226.1946710584651</v>
      </c>
      <c r="AI25" s="36">
        <f t="shared" si="5"/>
        <v>0.90514161166799967</v>
      </c>
    </row>
    <row r="26" spans="4:35" x14ac:dyDescent="0.25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U26" s="36"/>
      <c r="V26" s="36"/>
      <c r="W26" s="36"/>
      <c r="X26" s="36"/>
      <c r="AD26" s="3">
        <v>20</v>
      </c>
      <c r="AE26" s="3">
        <v>3800</v>
      </c>
      <c r="AF26" s="3">
        <v>0.84399999999999997</v>
      </c>
      <c r="AG26" s="3">
        <f t="shared" si="3"/>
        <v>2280</v>
      </c>
      <c r="AH26" s="3">
        <f t="shared" si="4"/>
        <v>238.76104167282429</v>
      </c>
      <c r="AI26" s="36">
        <f t="shared" si="5"/>
        <v>0.90466522134606908</v>
      </c>
    </row>
    <row r="27" spans="4:35" x14ac:dyDescent="0.25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U27" s="36"/>
      <c r="V27" s="36"/>
      <c r="W27" s="36"/>
      <c r="X27" s="36"/>
      <c r="AD27" s="3">
        <v>21</v>
      </c>
      <c r="AE27" s="3">
        <v>4000</v>
      </c>
      <c r="AF27" s="3">
        <v>0.88800000000000001</v>
      </c>
      <c r="AG27" s="3">
        <f t="shared" si="3"/>
        <v>2400</v>
      </c>
      <c r="AH27" s="3">
        <f t="shared" si="4"/>
        <v>251.32741228718345</v>
      </c>
      <c r="AI27" s="36">
        <f t="shared" si="5"/>
        <v>0.90423647005633168</v>
      </c>
    </row>
    <row r="28" spans="4:35" x14ac:dyDescent="0.25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U28" s="36"/>
      <c r="V28" s="36"/>
      <c r="W28" s="36"/>
      <c r="X28" s="36"/>
      <c r="AD28" s="3">
        <v>22</v>
      </c>
      <c r="AE28" s="3">
        <v>4200</v>
      </c>
      <c r="AF28" s="3">
        <v>0.93200000000000005</v>
      </c>
      <c r="AG28" s="3">
        <f t="shared" si="3"/>
        <v>2520</v>
      </c>
      <c r="AH28" s="3">
        <f t="shared" si="4"/>
        <v>263.89378290154264</v>
      </c>
      <c r="AI28" s="36">
        <f t="shared" si="5"/>
        <v>0.90384855222275973</v>
      </c>
    </row>
    <row r="29" spans="4:35" x14ac:dyDescent="0.25">
      <c r="D29" s="23" t="s">
        <v>71</v>
      </c>
      <c r="E29" s="23">
        <f>(1.5*10^(-9))/2</f>
        <v>7.500000000000001E-10</v>
      </c>
      <c r="F29" s="2"/>
      <c r="G29" s="79" t="s">
        <v>76</v>
      </c>
      <c r="H29" s="79"/>
      <c r="I29" s="79"/>
      <c r="J29" s="2"/>
      <c r="K29" s="2"/>
      <c r="L29" s="2"/>
      <c r="M29" s="2"/>
      <c r="N29" s="2"/>
      <c r="O29" s="2"/>
      <c r="P29" s="2"/>
      <c r="U29" s="36"/>
      <c r="V29" s="36"/>
      <c r="W29" s="36"/>
      <c r="X29" s="36"/>
      <c r="AD29" s="3">
        <v>23</v>
      </c>
      <c r="AE29" s="3">
        <v>4400</v>
      </c>
      <c r="AF29" s="3">
        <v>0.97599999999999998</v>
      </c>
      <c r="AG29" s="3">
        <f t="shared" si="3"/>
        <v>2640</v>
      </c>
      <c r="AH29" s="3">
        <f t="shared" si="4"/>
        <v>276.46015351590177</v>
      </c>
      <c r="AI29" s="36">
        <f t="shared" si="5"/>
        <v>0.90349589964678501</v>
      </c>
    </row>
    <row r="30" spans="4:35" x14ac:dyDescent="0.25">
      <c r="D30" s="23" t="s">
        <v>70</v>
      </c>
      <c r="E30" s="23">
        <f>E17/E29</f>
        <v>48990.789731530465</v>
      </c>
      <c r="F30" s="2"/>
      <c r="G30" s="33" t="s">
        <v>75</v>
      </c>
      <c r="H30" s="33">
        <f>(0.00018)/(E29*E6)</f>
        <v>31746.031746031746</v>
      </c>
      <c r="I30" s="33"/>
      <c r="J30" s="2"/>
      <c r="K30" s="2"/>
      <c r="L30" s="2"/>
      <c r="M30" s="2"/>
      <c r="N30" s="2"/>
      <c r="O30" s="2"/>
      <c r="P30" s="2"/>
      <c r="U30" s="36"/>
      <c r="V30" s="36"/>
      <c r="W30" s="36"/>
      <c r="X30" s="36"/>
      <c r="AD30" s="3">
        <v>24</v>
      </c>
      <c r="AE30" s="3">
        <v>4600</v>
      </c>
      <c r="AF30" s="3">
        <v>1.0189999999999999</v>
      </c>
      <c r="AG30" s="3">
        <f t="shared" si="3"/>
        <v>2760</v>
      </c>
      <c r="AH30" s="3">
        <f t="shared" si="4"/>
        <v>289.02652413026101</v>
      </c>
      <c r="AI30" s="36">
        <f t="shared" si="5"/>
        <v>0.90228844789208962</v>
      </c>
    </row>
    <row r="31" spans="4:35" x14ac:dyDescent="0.25">
      <c r="D31" s="23" t="s">
        <v>69</v>
      </c>
      <c r="E31" s="34">
        <v>43300</v>
      </c>
      <c r="F31" s="2"/>
      <c r="G31" s="33" t="s">
        <v>74</v>
      </c>
      <c r="H31" s="33">
        <f>(0.00014)/(E29*E6)</f>
        <v>24691.358024691355</v>
      </c>
      <c r="I31" s="33"/>
      <c r="J31" s="2"/>
      <c r="K31" s="2"/>
      <c r="L31" s="2"/>
      <c r="M31" s="2"/>
      <c r="N31" s="2"/>
      <c r="O31" s="2"/>
      <c r="P31" s="2"/>
      <c r="U31" s="36"/>
      <c r="V31" s="36"/>
      <c r="W31" s="36"/>
      <c r="X31" s="36"/>
      <c r="AD31" s="3">
        <v>25</v>
      </c>
      <c r="AE31" s="3">
        <v>4800</v>
      </c>
      <c r="AF31" s="3">
        <v>1.0629999999999999</v>
      </c>
      <c r="AG31" s="3">
        <f t="shared" si="3"/>
        <v>2880</v>
      </c>
      <c r="AH31" s="3">
        <f t="shared" si="4"/>
        <v>301.59289474462014</v>
      </c>
      <c r="AI31" s="36">
        <f t="shared" si="5"/>
        <v>0.90203018737789076</v>
      </c>
    </row>
    <row r="32" spans="4:35" x14ac:dyDescent="0.25">
      <c r="E32" s="3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U32" s="36"/>
      <c r="V32" s="36"/>
      <c r="W32" s="36"/>
      <c r="X32" s="36"/>
      <c r="AD32" s="3">
        <v>26</v>
      </c>
      <c r="AE32" s="3">
        <v>5000</v>
      </c>
      <c r="AF32" s="3">
        <v>1.107</v>
      </c>
      <c r="AG32" s="3">
        <f t="shared" si="3"/>
        <v>3000</v>
      </c>
      <c r="AH32" s="3">
        <f t="shared" si="4"/>
        <v>314.15926535897933</v>
      </c>
      <c r="AI32" s="36">
        <f t="shared" si="5"/>
        <v>0.90179258770482806</v>
      </c>
    </row>
    <row r="33" spans="4:35" x14ac:dyDescent="0.25">
      <c r="D33" s="20" t="s">
        <v>72</v>
      </c>
      <c r="E33" s="32">
        <f>100*10^(-9)</f>
        <v>1.0000000000000001E-7</v>
      </c>
      <c r="F33" s="2"/>
      <c r="G33" s="73" t="s">
        <v>77</v>
      </c>
      <c r="H33" s="73"/>
      <c r="I33" s="73"/>
      <c r="J33" s="2"/>
      <c r="K33" s="2"/>
      <c r="L33" s="2"/>
      <c r="M33" s="2"/>
      <c r="N33" s="2"/>
      <c r="O33" s="2"/>
      <c r="P33" s="2"/>
      <c r="U33" s="36"/>
      <c r="V33" s="36"/>
      <c r="W33" s="36"/>
      <c r="X33" s="36"/>
      <c r="AD33" s="3">
        <v>27</v>
      </c>
      <c r="AE33" s="3">
        <v>5200</v>
      </c>
      <c r="AF33" s="3">
        <v>1.1499999999999999</v>
      </c>
      <c r="AG33" s="3">
        <f t="shared" si="3"/>
        <v>3120</v>
      </c>
      <c r="AH33" s="3">
        <f t="shared" si="4"/>
        <v>326.72563597333846</v>
      </c>
      <c r="AI33" s="36">
        <f t="shared" si="5"/>
        <v>0.90078996930421107</v>
      </c>
    </row>
    <row r="34" spans="4:35" x14ac:dyDescent="0.25">
      <c r="G34" s="35" t="s">
        <v>79</v>
      </c>
      <c r="H34" s="35">
        <f>(0.00018)*E31</f>
        <v>7.7940000000000005</v>
      </c>
      <c r="I34" s="24" t="str">
        <f>_xlfn.CONCAT("&gt; ",E35)</f>
        <v>&gt; 4,419198</v>
      </c>
      <c r="U34" s="36"/>
      <c r="V34" s="36"/>
      <c r="W34" s="36"/>
      <c r="X34" s="36"/>
      <c r="AD34" s="3">
        <v>28</v>
      </c>
      <c r="AE34" s="3">
        <v>5400</v>
      </c>
      <c r="AF34" s="3">
        <v>1.194</v>
      </c>
      <c r="AG34" s="3">
        <f t="shared" si="3"/>
        <v>3240</v>
      </c>
      <c r="AH34" s="3">
        <f t="shared" si="4"/>
        <v>339.29200658769764</v>
      </c>
      <c r="AI34" s="36">
        <f t="shared" si="5"/>
        <v>0.90061590360965971</v>
      </c>
    </row>
    <row r="35" spans="4:35" x14ac:dyDescent="0.25">
      <c r="D35" s="20" t="s">
        <v>68</v>
      </c>
      <c r="E35" s="20">
        <f>E6*(1000*E9)*E29*E31*E16</f>
        <v>4.4191980000000006</v>
      </c>
      <c r="G35" s="35" t="s">
        <v>80</v>
      </c>
      <c r="H35" s="35">
        <f>(0.00014)*E31</f>
        <v>6.0619999999999994</v>
      </c>
      <c r="I35" s="24" t="str">
        <f>_xlfn.CONCAT("&gt; ",E35)</f>
        <v>&gt; 4,419198</v>
      </c>
      <c r="U35" s="36"/>
      <c r="V35" s="36"/>
      <c r="W35" s="36"/>
      <c r="X35" s="36"/>
      <c r="AD35" s="3">
        <v>29</v>
      </c>
      <c r="AE35" s="3">
        <v>5600</v>
      </c>
      <c r="AF35" s="3">
        <v>1.238</v>
      </c>
      <c r="AG35" s="3">
        <f t="shared" si="3"/>
        <v>3360</v>
      </c>
      <c r="AH35" s="3">
        <f t="shared" si="4"/>
        <v>351.85837720205683</v>
      </c>
      <c r="AI35" s="36">
        <f t="shared" si="5"/>
        <v>0.90045427117900456</v>
      </c>
    </row>
    <row r="36" spans="4:35" x14ac:dyDescent="0.25">
      <c r="U36" s="36"/>
      <c r="V36" s="36"/>
      <c r="W36" s="36"/>
      <c r="X36" s="36"/>
      <c r="AD36" s="3">
        <v>30</v>
      </c>
      <c r="AE36" s="3">
        <v>5800</v>
      </c>
      <c r="AF36" s="3">
        <v>1.2809999999999999</v>
      </c>
      <c r="AG36" s="3">
        <f t="shared" si="3"/>
        <v>3480</v>
      </c>
      <c r="AH36" s="3">
        <f t="shared" si="4"/>
        <v>364.42474781641602</v>
      </c>
      <c r="AI36" s="36">
        <f t="shared" si="5"/>
        <v>0.89960152076899724</v>
      </c>
    </row>
    <row r="37" spans="4:35" x14ac:dyDescent="0.25">
      <c r="D37" s="20" t="s">
        <v>73</v>
      </c>
      <c r="E37" s="20">
        <f>E35/(E9)</f>
        <v>0.22095990000000004</v>
      </c>
      <c r="U37" s="36"/>
      <c r="V37" s="36"/>
      <c r="W37" s="36"/>
      <c r="X37" s="36"/>
      <c r="AD37" s="3">
        <v>31</v>
      </c>
      <c r="AE37" s="3">
        <v>6000</v>
      </c>
      <c r="AF37" s="3">
        <v>1.325</v>
      </c>
      <c r="AG37" s="3">
        <f t="shared" si="3"/>
        <v>3600</v>
      </c>
      <c r="AH37" s="3">
        <f t="shared" si="4"/>
        <v>376.99111843077515</v>
      </c>
      <c r="AI37" s="36">
        <f t="shared" si="5"/>
        <v>0.89948447659507458</v>
      </c>
    </row>
    <row r="38" spans="4:35" x14ac:dyDescent="0.25">
      <c r="U38" s="36"/>
      <c r="V38" s="36"/>
      <c r="W38" s="36"/>
      <c r="X38" s="36"/>
      <c r="AD38" s="3">
        <v>32</v>
      </c>
      <c r="AE38" s="3">
        <v>6200</v>
      </c>
      <c r="AF38" s="3">
        <v>1.3680000000000001</v>
      </c>
      <c r="AG38" s="3">
        <f t="shared" si="3"/>
        <v>3720</v>
      </c>
      <c r="AH38" s="3">
        <f t="shared" si="4"/>
        <v>389.55748904513433</v>
      </c>
      <c r="AI38" s="36">
        <f t="shared" si="5"/>
        <v>0.89871802603680739</v>
      </c>
    </row>
    <row r="39" spans="4:35" x14ac:dyDescent="0.25">
      <c r="U39" s="36"/>
      <c r="V39" s="36"/>
      <c r="W39" s="36"/>
      <c r="X39" s="36"/>
      <c r="AD39" s="3">
        <v>33</v>
      </c>
      <c r="AE39" s="3">
        <v>6400</v>
      </c>
      <c r="AF39" s="3">
        <v>1.4119999999999999</v>
      </c>
      <c r="AG39" s="3">
        <f t="shared" si="3"/>
        <v>3840</v>
      </c>
      <c r="AH39" s="3">
        <f t="shared" si="4"/>
        <v>402.12385965949346</v>
      </c>
      <c r="AI39" s="36">
        <f t="shared" si="5"/>
        <v>0.89863590633413581</v>
      </c>
    </row>
    <row r="40" spans="4:35" x14ac:dyDescent="0.25">
      <c r="U40" s="36"/>
      <c r="V40" s="36"/>
      <c r="W40" s="36"/>
      <c r="X40" s="36"/>
      <c r="AD40" s="3">
        <v>34</v>
      </c>
      <c r="AE40" s="3">
        <v>6600</v>
      </c>
      <c r="AF40" s="3">
        <v>1.4550000000000001</v>
      </c>
      <c r="AG40" s="3">
        <f t="shared" si="3"/>
        <v>3960</v>
      </c>
      <c r="AH40" s="3">
        <f t="shared" si="4"/>
        <v>414.69023027385271</v>
      </c>
      <c r="AI40" s="36">
        <f t="shared" si="5"/>
        <v>0.89794162157518598</v>
      </c>
    </row>
    <row r="41" spans="4:35" x14ac:dyDescent="0.25">
      <c r="H41" s="20">
        <v>4.3369999999999997</v>
      </c>
      <c r="I41" s="32">
        <v>20000</v>
      </c>
      <c r="J41" s="20">
        <v>7.56</v>
      </c>
      <c r="K41" s="32">
        <v>7.5E-10</v>
      </c>
      <c r="L41" s="32">
        <v>43300</v>
      </c>
      <c r="N41" s="20">
        <f>J41*K41*L41*0.9</f>
        <v>2.2095989999999996E-4</v>
      </c>
      <c r="U41" s="36"/>
      <c r="V41" s="36"/>
      <c r="W41" s="36"/>
      <c r="X41" s="36"/>
      <c r="AD41" s="3">
        <v>35</v>
      </c>
      <c r="AE41" s="3">
        <v>6800</v>
      </c>
      <c r="AF41" s="3">
        <v>1.498</v>
      </c>
      <c r="AG41" s="3">
        <f t="shared" si="3"/>
        <v>4080</v>
      </c>
      <c r="AH41" s="3">
        <f t="shared" si="4"/>
        <v>427.25660088821189</v>
      </c>
      <c r="AI41" s="36">
        <f t="shared" si="5"/>
        <v>0.89728817709617437</v>
      </c>
    </row>
    <row r="42" spans="4:35" x14ac:dyDescent="0.25">
      <c r="U42" s="36"/>
      <c r="V42" s="36"/>
      <c r="W42" s="36"/>
      <c r="X42" s="36"/>
      <c r="AD42" s="3">
        <v>36</v>
      </c>
      <c r="AE42" s="3">
        <v>7000</v>
      </c>
      <c r="AF42" s="3">
        <v>1.542</v>
      </c>
      <c r="AG42" s="3">
        <f t="shared" si="3"/>
        <v>4200</v>
      </c>
      <c r="AH42" s="3">
        <f t="shared" si="4"/>
        <v>439.82297150257102</v>
      </c>
      <c r="AI42" s="36">
        <f t="shared" si="5"/>
        <v>0.89725394905203559</v>
      </c>
    </row>
    <row r="43" spans="4:35" x14ac:dyDescent="0.25">
      <c r="D43" s="20" t="s">
        <v>78</v>
      </c>
      <c r="E43" s="32">
        <f>(E6/2)*(E29/E33)*(1-((E6*E9*1000*E29)/0.00018))</f>
        <v>1.0489499999999997E-2</v>
      </c>
      <c r="H43" s="20">
        <f>H41/(I41*J41*K41*L41)</f>
        <v>0.88325981320592561</v>
      </c>
      <c r="U43" s="36"/>
      <c r="V43" s="36"/>
      <c r="W43" s="36"/>
      <c r="X43" s="36"/>
      <c r="AD43" s="3">
        <v>37</v>
      </c>
      <c r="AE43" s="3">
        <v>7200</v>
      </c>
      <c r="AF43" s="3">
        <v>1.585</v>
      </c>
      <c r="AG43" s="3">
        <f t="shared" si="3"/>
        <v>4320</v>
      </c>
      <c r="AH43" s="3">
        <f t="shared" si="4"/>
        <v>452.38934211693021</v>
      </c>
      <c r="AI43" s="36">
        <f t="shared" si="5"/>
        <v>0.89665590905861214</v>
      </c>
    </row>
    <row r="44" spans="4:35" x14ac:dyDescent="0.25">
      <c r="U44" s="36"/>
      <c r="V44" s="36"/>
      <c r="W44" s="36"/>
      <c r="X44" s="36"/>
      <c r="AD44" s="3">
        <v>38</v>
      </c>
      <c r="AE44" s="3">
        <v>7400</v>
      </c>
      <c r="AF44" s="3">
        <v>1.625</v>
      </c>
      <c r="AG44" s="3">
        <f t="shared" si="3"/>
        <v>4440</v>
      </c>
      <c r="AH44" s="3">
        <f t="shared" si="4"/>
        <v>464.9557127312894</v>
      </c>
      <c r="AI44" s="36">
        <f t="shared" si="5"/>
        <v>0.89443892369219558</v>
      </c>
    </row>
    <row r="45" spans="4:35" x14ac:dyDescent="0.25">
      <c r="U45" s="36"/>
      <c r="V45" s="36"/>
      <c r="W45" s="36"/>
      <c r="X45" s="36"/>
      <c r="AD45" s="3">
        <v>39</v>
      </c>
      <c r="AE45" s="3">
        <v>7600</v>
      </c>
      <c r="AF45" s="3">
        <v>1.673</v>
      </c>
      <c r="AG45" s="3">
        <f t="shared" si="3"/>
        <v>4560</v>
      </c>
      <c r="AH45" s="3">
        <f t="shared" si="4"/>
        <v>477.52208334564858</v>
      </c>
      <c r="AI45" s="36">
        <f t="shared" si="5"/>
        <v>0.8966261346634915</v>
      </c>
    </row>
    <row r="46" spans="4:35" x14ac:dyDescent="0.25">
      <c r="U46" s="36"/>
      <c r="V46" s="36"/>
      <c r="W46" s="36"/>
      <c r="X46" s="36"/>
      <c r="AD46" s="3">
        <v>40</v>
      </c>
      <c r="AE46" s="3">
        <v>7800</v>
      </c>
      <c r="AF46" s="3">
        <v>1.716</v>
      </c>
      <c r="AG46" s="3">
        <f t="shared" si="3"/>
        <v>4680</v>
      </c>
      <c r="AH46" s="3">
        <f t="shared" si="4"/>
        <v>490.08845396000771</v>
      </c>
      <c r="AI46" s="36">
        <f t="shared" si="5"/>
        <v>0.89609019555131963</v>
      </c>
    </row>
    <row r="47" spans="4:35" x14ac:dyDescent="0.25">
      <c r="U47" s="36"/>
      <c r="V47" s="36"/>
      <c r="W47" s="36"/>
      <c r="X47" s="36"/>
      <c r="AD47" s="3">
        <v>41</v>
      </c>
      <c r="AE47" s="3">
        <v>8000</v>
      </c>
      <c r="AF47" s="3">
        <v>1.76</v>
      </c>
      <c r="AG47" s="3">
        <f t="shared" si="3"/>
        <v>4800</v>
      </c>
      <c r="AH47" s="3">
        <f t="shared" si="4"/>
        <v>502.6548245743669</v>
      </c>
      <c r="AI47" s="36">
        <f t="shared" si="5"/>
        <v>0.89609019555131963</v>
      </c>
    </row>
    <row r="48" spans="4:35" x14ac:dyDescent="0.25">
      <c r="U48" s="36"/>
      <c r="V48" s="36"/>
      <c r="W48" s="36"/>
      <c r="X48" s="36"/>
      <c r="AD48" s="3">
        <v>42</v>
      </c>
      <c r="AE48" s="3">
        <v>8200</v>
      </c>
      <c r="AF48" s="3">
        <v>1.8029999999999999</v>
      </c>
      <c r="AG48" s="3">
        <f t="shared" si="3"/>
        <v>4920</v>
      </c>
      <c r="AH48" s="3">
        <f t="shared" si="4"/>
        <v>515.22119518872603</v>
      </c>
      <c r="AI48" s="36">
        <f t="shared" si="5"/>
        <v>0.895593471496136</v>
      </c>
    </row>
    <row r="49" spans="21:35" x14ac:dyDescent="0.25">
      <c r="U49" s="36"/>
      <c r="V49" s="36"/>
      <c r="W49" s="36"/>
      <c r="X49" s="36"/>
      <c r="AD49" s="3">
        <v>43</v>
      </c>
      <c r="AE49" s="3">
        <v>8400</v>
      </c>
      <c r="AF49" s="3">
        <v>1.847</v>
      </c>
      <c r="AG49" s="3">
        <f t="shared" si="3"/>
        <v>5040</v>
      </c>
      <c r="AH49" s="3">
        <f t="shared" si="4"/>
        <v>527.78756580308527</v>
      </c>
      <c r="AI49" s="36">
        <f t="shared" si="5"/>
        <v>0.89560529825935464</v>
      </c>
    </row>
    <row r="50" spans="21:35" x14ac:dyDescent="0.25">
      <c r="U50" s="36"/>
      <c r="V50" s="36"/>
      <c r="W50" s="36"/>
      <c r="X50" s="36"/>
      <c r="AD50" s="3">
        <v>44</v>
      </c>
      <c r="AE50" s="3">
        <v>8600</v>
      </c>
      <c r="AF50" s="3">
        <v>1.89</v>
      </c>
      <c r="AG50" s="3">
        <f t="shared" si="3"/>
        <v>5160</v>
      </c>
      <c r="AH50" s="3">
        <f t="shared" si="4"/>
        <v>540.3539364174444</v>
      </c>
      <c r="AI50" s="36">
        <f t="shared" si="5"/>
        <v>0.89514295432980651</v>
      </c>
    </row>
    <row r="51" spans="21:35" x14ac:dyDescent="0.25">
      <c r="U51" s="36"/>
      <c r="V51" s="36"/>
      <c r="W51" s="36"/>
      <c r="X51" s="36"/>
      <c r="AD51" s="3">
        <v>45</v>
      </c>
      <c r="AE51" s="3">
        <v>8800</v>
      </c>
      <c r="AF51" s="3">
        <v>1.9339999999999999</v>
      </c>
      <c r="AG51" s="3">
        <f t="shared" si="3"/>
        <v>5280</v>
      </c>
      <c r="AH51" s="3">
        <f t="shared" si="4"/>
        <v>552.92030703180353</v>
      </c>
      <c r="AI51" s="36">
        <f t="shared" si="5"/>
        <v>0.89516448253938641</v>
      </c>
    </row>
    <row r="52" spans="21:35" x14ac:dyDescent="0.25">
      <c r="U52" s="36"/>
      <c r="V52" s="36"/>
      <c r="W52" s="36"/>
      <c r="X52" s="36"/>
      <c r="AD52" s="3">
        <v>46</v>
      </c>
      <c r="AE52" s="3">
        <v>9000</v>
      </c>
      <c r="AF52" s="3">
        <v>1.978</v>
      </c>
      <c r="AG52" s="3">
        <f t="shared" si="3"/>
        <v>5400</v>
      </c>
      <c r="AH52" s="3">
        <f t="shared" si="4"/>
        <v>565.48667764616278</v>
      </c>
      <c r="AI52" s="36">
        <f t="shared" si="5"/>
        <v>0.89518505393965175</v>
      </c>
    </row>
    <row r="53" spans="21:35" x14ac:dyDescent="0.25">
      <c r="AD53" s="3">
        <v>47</v>
      </c>
      <c r="AE53" s="3">
        <v>9400</v>
      </c>
      <c r="AF53" s="3">
        <v>2.0649999999999999</v>
      </c>
      <c r="AG53" s="3">
        <f t="shared" si="3"/>
        <v>5640</v>
      </c>
      <c r="AH53" s="3">
        <f t="shared" si="4"/>
        <v>590.61941887488115</v>
      </c>
      <c r="AI53" s="36">
        <f t="shared" si="5"/>
        <v>0.8947902581303071</v>
      </c>
    </row>
    <row r="54" spans="21:35" x14ac:dyDescent="0.25">
      <c r="AD54" s="3">
        <v>48</v>
      </c>
      <c r="AE54" s="3">
        <v>10000</v>
      </c>
      <c r="AF54" s="3">
        <v>2.1949999999999998</v>
      </c>
      <c r="AG54" s="3">
        <f t="shared" ref="AG54:AG74" si="6">AE54*0.6</f>
        <v>6000</v>
      </c>
      <c r="AH54" s="3">
        <f t="shared" ref="AH54:AH74" si="7">(AG54*2*PI())/60</f>
        <v>628.31853071795865</v>
      </c>
      <c r="AI54" s="36">
        <f t="shared" ref="AI54:AI74" si="8">AF54/($J$41*$K$41*$L$41*AE54)</f>
        <v>0.89405362692506662</v>
      </c>
    </row>
    <row r="55" spans="21:35" x14ac:dyDescent="0.25">
      <c r="AD55" s="3">
        <v>49</v>
      </c>
      <c r="AE55" s="3">
        <v>10500</v>
      </c>
      <c r="AF55" s="3">
        <v>2.3039999999999998</v>
      </c>
      <c r="AG55" s="3">
        <f t="shared" si="6"/>
        <v>6300</v>
      </c>
      <c r="AH55" s="3">
        <f t="shared" si="7"/>
        <v>659.73445725385659</v>
      </c>
      <c r="AI55" s="36">
        <f t="shared" si="8"/>
        <v>0.8937626885498875</v>
      </c>
    </row>
    <row r="56" spans="21:35" x14ac:dyDescent="0.25">
      <c r="AD56" s="3">
        <v>50</v>
      </c>
      <c r="AE56" s="3">
        <v>11000</v>
      </c>
      <c r="AF56" s="3">
        <v>2.4119999999999999</v>
      </c>
      <c r="AG56" s="3">
        <f t="shared" si="6"/>
        <v>6600</v>
      </c>
      <c r="AH56" s="3">
        <f t="shared" si="7"/>
        <v>691.15038378975453</v>
      </c>
      <c r="AI56" s="36">
        <f t="shared" si="8"/>
        <v>0.8931279139131334</v>
      </c>
    </row>
    <row r="57" spans="21:35" x14ac:dyDescent="0.25">
      <c r="AD57" s="3">
        <v>51</v>
      </c>
      <c r="AE57" s="3">
        <v>11500</v>
      </c>
      <c r="AF57" s="3">
        <v>2.5209999999999999</v>
      </c>
      <c r="AG57" s="3">
        <f t="shared" si="6"/>
        <v>6900</v>
      </c>
      <c r="AH57" s="3">
        <f t="shared" si="7"/>
        <v>722.56631032565235</v>
      </c>
      <c r="AI57" s="36">
        <f t="shared" si="8"/>
        <v>0.89290252291892358</v>
      </c>
    </row>
    <row r="58" spans="21:35" x14ac:dyDescent="0.25">
      <c r="AD58" s="3">
        <v>52</v>
      </c>
      <c r="AE58" s="3">
        <v>12000</v>
      </c>
      <c r="AF58" s="3">
        <v>2.629</v>
      </c>
      <c r="AG58" s="3">
        <f t="shared" si="6"/>
        <v>7200</v>
      </c>
      <c r="AH58" s="3">
        <f t="shared" si="7"/>
        <v>753.98223686155029</v>
      </c>
      <c r="AI58" s="36">
        <f t="shared" si="8"/>
        <v>0.8923564864031891</v>
      </c>
    </row>
    <row r="59" spans="21:35" x14ac:dyDescent="0.25">
      <c r="AD59" s="3">
        <v>53</v>
      </c>
      <c r="AE59" s="3">
        <v>12500</v>
      </c>
      <c r="AF59" s="3">
        <v>2.7370000000000001</v>
      </c>
      <c r="AG59" s="3">
        <f t="shared" si="6"/>
        <v>7500</v>
      </c>
      <c r="AH59" s="3">
        <f t="shared" si="7"/>
        <v>785.39816339744834</v>
      </c>
      <c r="AI59" s="36">
        <f t="shared" si="8"/>
        <v>0.89185413280871351</v>
      </c>
    </row>
    <row r="60" spans="21:35" x14ac:dyDescent="0.25">
      <c r="AD60" s="3">
        <v>54</v>
      </c>
      <c r="AE60" s="3">
        <v>13000</v>
      </c>
      <c r="AF60" s="3">
        <v>2.8450000000000002</v>
      </c>
      <c r="AG60" s="3">
        <f t="shared" si="6"/>
        <v>7800</v>
      </c>
      <c r="AH60" s="3">
        <f t="shared" si="7"/>
        <v>816.81408993334628</v>
      </c>
      <c r="AI60" s="36">
        <f t="shared" si="8"/>
        <v>0.89139042179842809</v>
      </c>
    </row>
    <row r="61" spans="21:35" x14ac:dyDescent="0.25">
      <c r="AD61" s="3">
        <v>55</v>
      </c>
      <c r="AE61" s="3">
        <v>13500</v>
      </c>
      <c r="AF61" s="3">
        <v>2.9529999999999998</v>
      </c>
      <c r="AG61" s="3">
        <f t="shared" si="6"/>
        <v>8100</v>
      </c>
      <c r="AH61" s="3">
        <f t="shared" si="7"/>
        <v>848.23001646924411</v>
      </c>
      <c r="AI61" s="36">
        <f t="shared" si="8"/>
        <v>0.89096105975186757</v>
      </c>
    </row>
    <row r="62" spans="21:35" x14ac:dyDescent="0.25">
      <c r="AD62" s="3">
        <v>56</v>
      </c>
      <c r="AE62" s="3">
        <v>14000</v>
      </c>
      <c r="AF62" s="3">
        <v>3.0619999999999998</v>
      </c>
      <c r="AG62" s="3">
        <f t="shared" si="6"/>
        <v>8400</v>
      </c>
      <c r="AH62" s="3">
        <f t="shared" si="7"/>
        <v>879.64594300514204</v>
      </c>
      <c r="AI62" s="36">
        <f t="shared" si="8"/>
        <v>0.89085330479809755</v>
      </c>
    </row>
    <row r="63" spans="21:35" x14ac:dyDescent="0.25">
      <c r="AD63" s="3">
        <v>57</v>
      </c>
      <c r="AE63" s="3">
        <v>14500</v>
      </c>
      <c r="AF63" s="3">
        <v>3.17</v>
      </c>
      <c r="AG63" s="3">
        <f t="shared" si="6"/>
        <v>8700</v>
      </c>
      <c r="AH63" s="3">
        <f t="shared" si="7"/>
        <v>911.06186954103998</v>
      </c>
      <c r="AI63" s="36">
        <f t="shared" si="8"/>
        <v>0.89047207520303551</v>
      </c>
    </row>
    <row r="64" spans="21:35" x14ac:dyDescent="0.25">
      <c r="AD64" s="3">
        <v>58</v>
      </c>
      <c r="AE64" s="3">
        <v>15000</v>
      </c>
      <c r="AF64" s="3">
        <v>3.2789999999999999</v>
      </c>
      <c r="AG64" s="3">
        <f t="shared" si="6"/>
        <v>9000</v>
      </c>
      <c r="AH64" s="3">
        <f t="shared" si="7"/>
        <v>942.47779607693803</v>
      </c>
      <c r="AI64" s="36">
        <f t="shared" si="8"/>
        <v>0.89038780339781132</v>
      </c>
    </row>
    <row r="65" spans="30:35" x14ac:dyDescent="0.25">
      <c r="AD65" s="3">
        <v>59</v>
      </c>
      <c r="AE65" s="3">
        <v>15500</v>
      </c>
      <c r="AF65" s="3">
        <v>3.387</v>
      </c>
      <c r="AG65" s="3">
        <f t="shared" si="6"/>
        <v>9300</v>
      </c>
      <c r="AH65" s="3">
        <f t="shared" si="7"/>
        <v>973.89372261283586</v>
      </c>
      <c r="AI65" s="36">
        <f t="shared" si="8"/>
        <v>0.89004618543469782</v>
      </c>
    </row>
    <row r="66" spans="30:35" x14ac:dyDescent="0.25">
      <c r="AD66" s="3">
        <v>60</v>
      </c>
      <c r="AE66" s="3">
        <v>16000</v>
      </c>
      <c r="AF66" s="3">
        <v>3.4950000000000001</v>
      </c>
      <c r="AG66" s="3">
        <f t="shared" si="6"/>
        <v>9600</v>
      </c>
      <c r="AH66" s="3">
        <f t="shared" si="7"/>
        <v>1005.3096491487338</v>
      </c>
      <c r="AI66" s="36">
        <f t="shared" si="8"/>
        <v>0.88972591859427907</v>
      </c>
    </row>
    <row r="67" spans="30:35" x14ac:dyDescent="0.25">
      <c r="AD67" s="3">
        <v>61</v>
      </c>
      <c r="AE67" s="3">
        <v>16500</v>
      </c>
      <c r="AF67" s="3">
        <v>3.6030000000000002</v>
      </c>
      <c r="AG67" s="3">
        <f t="shared" si="6"/>
        <v>9900</v>
      </c>
      <c r="AH67" s="3">
        <f t="shared" si="7"/>
        <v>1036.7255756846318</v>
      </c>
      <c r="AI67" s="36">
        <f t="shared" si="8"/>
        <v>0.88942506186540082</v>
      </c>
    </row>
    <row r="68" spans="30:35" x14ac:dyDescent="0.25">
      <c r="AD68" s="3">
        <v>62</v>
      </c>
      <c r="AE68" s="3">
        <v>17000</v>
      </c>
      <c r="AF68" s="3">
        <v>3.7120000000000002</v>
      </c>
      <c r="AG68" s="3">
        <f t="shared" si="6"/>
        <v>10200</v>
      </c>
      <c r="AH68" s="3">
        <f t="shared" si="7"/>
        <v>1068.1415022205297</v>
      </c>
      <c r="AI68" s="36">
        <f t="shared" si="8"/>
        <v>0.88938149890013329</v>
      </c>
    </row>
    <row r="69" spans="30:35" x14ac:dyDescent="0.25">
      <c r="AD69" s="3">
        <v>63</v>
      </c>
      <c r="AE69" s="3">
        <v>17500</v>
      </c>
      <c r="AF69" s="3">
        <v>3.819</v>
      </c>
      <c r="AG69" s="3">
        <f t="shared" si="6"/>
        <v>10500</v>
      </c>
      <c r="AH69" s="3">
        <f t="shared" si="7"/>
        <v>1099.5574287564275</v>
      </c>
      <c r="AI69" s="36">
        <f t="shared" si="8"/>
        <v>0.88887492384688038</v>
      </c>
    </row>
    <row r="70" spans="30:35" x14ac:dyDescent="0.25">
      <c r="AD70" s="3">
        <v>64</v>
      </c>
      <c r="AE70" s="3">
        <v>18000</v>
      </c>
      <c r="AF70" s="3">
        <v>3.927</v>
      </c>
      <c r="AG70" s="3">
        <f t="shared" si="6"/>
        <v>10800</v>
      </c>
      <c r="AH70" s="3">
        <f t="shared" si="7"/>
        <v>1130.9733552923256</v>
      </c>
      <c r="AI70" s="36">
        <f t="shared" si="8"/>
        <v>0.88862277725505878</v>
      </c>
    </row>
    <row r="71" spans="30:35" x14ac:dyDescent="0.25">
      <c r="AD71" s="3">
        <v>65</v>
      </c>
      <c r="AE71" s="3">
        <v>18500</v>
      </c>
      <c r="AF71" s="3">
        <v>4.0359999999999996</v>
      </c>
      <c r="AG71" s="3">
        <f t="shared" si="6"/>
        <v>11100</v>
      </c>
      <c r="AH71" s="3">
        <f t="shared" si="7"/>
        <v>1162.3892818282234</v>
      </c>
      <c r="AI71" s="36">
        <f t="shared" si="8"/>
        <v>0.88860442978995724</v>
      </c>
    </row>
    <row r="72" spans="30:35" x14ac:dyDescent="0.25">
      <c r="AD72" s="3">
        <v>66</v>
      </c>
      <c r="AE72" s="3">
        <v>19000</v>
      </c>
      <c r="AF72" s="3">
        <v>4.1440000000000001</v>
      </c>
      <c r="AG72" s="3">
        <f t="shared" si="6"/>
        <v>11400</v>
      </c>
      <c r="AH72" s="3">
        <f t="shared" si="7"/>
        <v>1193.8052083641212</v>
      </c>
      <c r="AI72" s="36">
        <f t="shared" si="8"/>
        <v>0.88837267233604511</v>
      </c>
    </row>
    <row r="73" spans="30:35" x14ac:dyDescent="0.25">
      <c r="AD73" s="3">
        <v>67</v>
      </c>
      <c r="AE73" s="3">
        <v>19500</v>
      </c>
      <c r="AF73" s="3">
        <v>4.2519999999999998</v>
      </c>
      <c r="AG73" s="3">
        <f t="shared" si="6"/>
        <v>11700</v>
      </c>
      <c r="AH73" s="3">
        <f t="shared" si="7"/>
        <v>1225.2211349000195</v>
      </c>
      <c r="AI73" s="36">
        <f t="shared" si="8"/>
        <v>0.88815279987976936</v>
      </c>
    </row>
    <row r="74" spans="30:35" x14ac:dyDescent="0.25">
      <c r="AD74" s="3">
        <v>68</v>
      </c>
      <c r="AE74" s="3">
        <v>20000</v>
      </c>
      <c r="AF74" s="3">
        <v>4.3360000000000003</v>
      </c>
      <c r="AG74" s="3">
        <f t="shared" si="6"/>
        <v>12000</v>
      </c>
      <c r="AH74" s="3">
        <f t="shared" si="7"/>
        <v>1256.6370614359173</v>
      </c>
      <c r="AI74" s="36">
        <f t="shared" si="8"/>
        <v>0.88305615634330059</v>
      </c>
    </row>
  </sheetData>
  <mergeCells count="8">
    <mergeCell ref="D11:E11"/>
    <mergeCell ref="G29:I29"/>
    <mergeCell ref="G33:I33"/>
    <mergeCell ref="AD5:AH5"/>
    <mergeCell ref="Q5:Y5"/>
    <mergeCell ref="H4:J4"/>
    <mergeCell ref="H8:J8"/>
    <mergeCell ref="H9:J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32BA-B625-4D6F-99FC-6A849E19A711}">
  <dimension ref="B1:AL24"/>
  <sheetViews>
    <sheetView topLeftCell="V5" zoomScale="81" zoomScaleNormal="81" workbookViewId="0">
      <selection activeCell="AC31" sqref="AC31"/>
    </sheetView>
  </sheetViews>
  <sheetFormatPr defaultRowHeight="15" x14ac:dyDescent="0.25"/>
  <cols>
    <col min="1" max="2" width="9.140625" style="20"/>
    <col min="3" max="3" width="11" style="20" bestFit="1" customWidth="1"/>
    <col min="4" max="4" width="7.42578125" style="20" bestFit="1" customWidth="1"/>
    <col min="5" max="5" width="7" style="20" bestFit="1" customWidth="1"/>
    <col min="6" max="6" width="11" style="20" bestFit="1" customWidth="1"/>
    <col min="7" max="7" width="8" style="20" bestFit="1" customWidth="1"/>
    <col min="8" max="8" width="9" style="20" bestFit="1" customWidth="1"/>
    <col min="9" max="9" width="11" style="20" bestFit="1" customWidth="1"/>
    <col min="10" max="10" width="8" style="20" bestFit="1" customWidth="1"/>
    <col min="11" max="11" width="9" style="20" bestFit="1" customWidth="1"/>
    <col min="12" max="12" width="11" style="20" bestFit="1" customWidth="1"/>
    <col min="13" max="14" width="8" style="20" bestFit="1" customWidth="1"/>
    <col min="15" max="15" width="11" style="20" bestFit="1" customWidth="1"/>
    <col min="16" max="17" width="9.140625" style="20"/>
    <col min="18" max="18" width="11" style="20" bestFit="1" customWidth="1"/>
    <col min="19" max="20" width="9.140625" style="20"/>
    <col min="21" max="21" width="11" style="20" bestFit="1" customWidth="1"/>
    <col min="22" max="26" width="9.140625" style="20"/>
    <col min="27" max="27" width="11" style="20" bestFit="1" customWidth="1"/>
    <col min="28" max="28" width="9" style="20" bestFit="1" customWidth="1"/>
    <col min="29" max="29" width="10.140625" style="20" bestFit="1" customWidth="1"/>
    <col min="30" max="31" width="12" style="20" bestFit="1" customWidth="1"/>
    <col min="32" max="32" width="10.140625" style="20" bestFit="1" customWidth="1"/>
    <col min="33" max="33" width="11" style="20" bestFit="1" customWidth="1"/>
    <col min="34" max="34" width="9" style="20" bestFit="1" customWidth="1"/>
    <col min="35" max="35" width="10.140625" style="20" bestFit="1" customWidth="1"/>
    <col min="36" max="36" width="11" style="20" bestFit="1" customWidth="1"/>
    <col min="37" max="38" width="9" style="20" bestFit="1" customWidth="1"/>
    <col min="39" max="16384" width="9.140625" style="20"/>
  </cols>
  <sheetData>
    <row r="1" spans="2:38" ht="15.75" thickBot="1" x14ac:dyDescent="0.3"/>
    <row r="2" spans="2:38" x14ac:dyDescent="0.25">
      <c r="C2" s="81" t="s">
        <v>84</v>
      </c>
      <c r="D2" s="82"/>
      <c r="E2" s="43">
        <v>1</v>
      </c>
      <c r="F2" s="81" t="s">
        <v>84</v>
      </c>
      <c r="G2" s="82"/>
      <c r="H2" s="43">
        <v>2</v>
      </c>
      <c r="I2" s="81" t="s">
        <v>84</v>
      </c>
      <c r="J2" s="82"/>
      <c r="K2" s="43">
        <v>5</v>
      </c>
      <c r="L2" s="81" t="s">
        <v>83</v>
      </c>
      <c r="M2" s="82"/>
      <c r="N2" s="43">
        <v>0.01</v>
      </c>
      <c r="O2" s="81" t="s">
        <v>83</v>
      </c>
      <c r="P2" s="82"/>
      <c r="Q2" s="43">
        <v>0.02</v>
      </c>
      <c r="R2" s="81" t="s">
        <v>83</v>
      </c>
      <c r="S2" s="82"/>
      <c r="T2" s="43">
        <v>0.05</v>
      </c>
      <c r="U2" s="81" t="s">
        <v>83</v>
      </c>
      <c r="V2" s="82"/>
      <c r="W2" s="43">
        <v>0.1</v>
      </c>
    </row>
    <row r="3" spans="2:38" ht="15.75" thickBot="1" x14ac:dyDescent="0.3">
      <c r="C3" s="44" t="s">
        <v>82</v>
      </c>
      <c r="D3" s="20" t="s">
        <v>81</v>
      </c>
      <c r="E3" s="45" t="s">
        <v>85</v>
      </c>
      <c r="F3" s="44" t="s">
        <v>82</v>
      </c>
      <c r="G3" s="20" t="s">
        <v>81</v>
      </c>
      <c r="H3" s="45" t="s">
        <v>85</v>
      </c>
      <c r="I3" s="44" t="s">
        <v>82</v>
      </c>
      <c r="J3" s="20" t="s">
        <v>81</v>
      </c>
      <c r="K3" s="45" t="s">
        <v>85</v>
      </c>
      <c r="L3" s="44" t="s">
        <v>82</v>
      </c>
      <c r="M3" s="20" t="s">
        <v>81</v>
      </c>
      <c r="N3" s="45" t="s">
        <v>85</v>
      </c>
      <c r="O3" s="44" t="s">
        <v>82</v>
      </c>
      <c r="P3" s="20" t="s">
        <v>81</v>
      </c>
      <c r="Q3" s="45" t="s">
        <v>85</v>
      </c>
      <c r="R3" s="44" t="s">
        <v>82</v>
      </c>
      <c r="S3" s="20" t="s">
        <v>81</v>
      </c>
      <c r="T3" s="45" t="s">
        <v>85</v>
      </c>
      <c r="U3" s="44" t="s">
        <v>82</v>
      </c>
      <c r="V3" s="20" t="s">
        <v>81</v>
      </c>
      <c r="W3" s="45" t="s">
        <v>85</v>
      </c>
    </row>
    <row r="4" spans="2:38" x14ac:dyDescent="0.25">
      <c r="C4" s="44">
        <v>2.0644999999999998</v>
      </c>
      <c r="D4" s="20">
        <v>1.9758</v>
      </c>
      <c r="E4" s="45">
        <f>(C4*0.000001)/($E$2*0.000000001)</f>
        <v>2064.4999999999995</v>
      </c>
      <c r="F4" s="44">
        <v>3.4294899999999999</v>
      </c>
      <c r="G4" s="20">
        <v>2</v>
      </c>
      <c r="H4" s="45">
        <f>(F4*0.000001)/($H$2*0.000000001)</f>
        <v>1714.7449999999997</v>
      </c>
      <c r="I4" s="44">
        <v>7.8237699999999997</v>
      </c>
      <c r="J4" s="20">
        <v>2</v>
      </c>
      <c r="K4" s="45">
        <f>(I4*0.000001)/($K$2*0.000000001)</f>
        <v>1564.7539999999999</v>
      </c>
      <c r="L4" s="44">
        <v>16.228300000000001</v>
      </c>
      <c r="M4" s="20">
        <v>1.9758500000000001</v>
      </c>
      <c r="N4" s="45">
        <f>(L4*0.000001)/($N$2*0.000001)</f>
        <v>1622.8299999999997</v>
      </c>
      <c r="O4" s="44">
        <v>33.131700000000002</v>
      </c>
      <c r="P4" s="20">
        <v>2</v>
      </c>
      <c r="Q4" s="45">
        <f>(O4*0.000001)/($Q$2*0.000001)</f>
        <v>1656.585</v>
      </c>
      <c r="R4" s="44">
        <v>72.071899999999999</v>
      </c>
      <c r="S4" s="20">
        <v>2</v>
      </c>
      <c r="T4" s="45">
        <f>(R4*0.000001)/($T$2*0.000001)</f>
        <v>1441.4379999999999</v>
      </c>
      <c r="U4" s="44">
        <v>154.31200000000001</v>
      </c>
      <c r="V4" s="20">
        <v>2</v>
      </c>
      <c r="W4" s="45">
        <f>(U4*0.000001)/($W$2*0.000001)</f>
        <v>1543.1200000000001</v>
      </c>
      <c r="AA4" s="83" t="s">
        <v>84</v>
      </c>
      <c r="AB4" s="84"/>
      <c r="AC4" s="50">
        <v>1</v>
      </c>
      <c r="AD4" s="83" t="s">
        <v>84</v>
      </c>
      <c r="AE4" s="84"/>
      <c r="AF4" s="50">
        <v>2</v>
      </c>
      <c r="AG4" s="83" t="s">
        <v>84</v>
      </c>
      <c r="AH4" s="84"/>
      <c r="AI4" s="50">
        <v>5</v>
      </c>
      <c r="AJ4" s="83" t="s">
        <v>83</v>
      </c>
      <c r="AK4" s="84"/>
      <c r="AL4" s="50">
        <v>0.01</v>
      </c>
    </row>
    <row r="5" spans="2:38" x14ac:dyDescent="0.25">
      <c r="C5" s="44">
        <v>16.228000000000002</v>
      </c>
      <c r="D5" s="20">
        <v>18.936</v>
      </c>
      <c r="E5" s="45">
        <f t="shared" ref="E5:E6" si="0">(C5*0.000001)/($E$2*0.000000001)</f>
        <v>16228</v>
      </c>
      <c r="F5" s="44">
        <v>29.183499999999999</v>
      </c>
      <c r="G5" s="20">
        <v>17.604399999999998</v>
      </c>
      <c r="H5" s="45">
        <f t="shared" ref="H5:H6" si="1">(F5*0.000001)/($H$2*0.000000001)</f>
        <v>14591.749999999996</v>
      </c>
      <c r="I5" s="44">
        <v>66.577100000000002</v>
      </c>
      <c r="J5" s="20">
        <v>19.167300000000001</v>
      </c>
      <c r="K5" s="45">
        <f>(I5*0.000001)/($K$2*0.000000001)</f>
        <v>13315.42</v>
      </c>
      <c r="L5" s="44">
        <v>125.56100000000001</v>
      </c>
      <c r="M5" s="20">
        <v>15.973699999999999</v>
      </c>
      <c r="N5" s="45">
        <f t="shared" ref="N5" si="2">(L5*0.000001)/($N$2*0.000001)</f>
        <v>12556.1</v>
      </c>
      <c r="O5" s="44">
        <v>295.67700000000002</v>
      </c>
      <c r="P5" s="20">
        <v>18.037400000000002</v>
      </c>
      <c r="Q5" s="45">
        <f t="shared" ref="Q5" si="3">(O5*0.000001)/($Q$2*0.000001)</f>
        <v>14783.849999999999</v>
      </c>
      <c r="R5" s="44">
        <v>707.40599999999995</v>
      </c>
      <c r="S5" s="20">
        <v>19.6388</v>
      </c>
      <c r="T5" s="45">
        <f t="shared" ref="T5:T6" si="4">(R5*0.000001)/($T$2*0.000001)</f>
        <v>14148.119999999999</v>
      </c>
      <c r="U5" s="44">
        <v>1156.6500000000001</v>
      </c>
      <c r="V5" s="20">
        <v>15.973699999999999</v>
      </c>
      <c r="W5" s="45">
        <f t="shared" ref="W5:W6" si="5">(U5*0.000001)/($W$2*0.000001)</f>
        <v>11566.5</v>
      </c>
      <c r="AA5" s="51" t="s">
        <v>82</v>
      </c>
      <c r="AB5" s="52" t="s">
        <v>81</v>
      </c>
      <c r="AC5" s="53" t="s">
        <v>85</v>
      </c>
      <c r="AD5" s="51" t="s">
        <v>82</v>
      </c>
      <c r="AE5" s="52" t="s">
        <v>81</v>
      </c>
      <c r="AF5" s="53" t="s">
        <v>85</v>
      </c>
      <c r="AG5" s="51" t="s">
        <v>82</v>
      </c>
      <c r="AH5" s="52" t="s">
        <v>81</v>
      </c>
      <c r="AI5" s="53" t="s">
        <v>85</v>
      </c>
      <c r="AJ5" s="51" t="s">
        <v>82</v>
      </c>
      <c r="AK5" s="52" t="s">
        <v>81</v>
      </c>
      <c r="AL5" s="53" t="s">
        <v>85</v>
      </c>
    </row>
    <row r="6" spans="2:38" ht="15.75" thickBot="1" x14ac:dyDescent="0.3">
      <c r="C6" s="46">
        <v>108.86</v>
      </c>
      <c r="D6" s="47">
        <v>151.24</v>
      </c>
      <c r="E6" s="48">
        <f t="shared" si="0"/>
        <v>108859.99999999999</v>
      </c>
      <c r="F6" s="46">
        <v>244.43199999999999</v>
      </c>
      <c r="G6" s="47">
        <v>151.23699999999999</v>
      </c>
      <c r="H6" s="48">
        <f t="shared" si="1"/>
        <v>122215.99999999999</v>
      </c>
      <c r="I6" s="46">
        <v>468.35500000000002</v>
      </c>
      <c r="J6" s="47">
        <v>151.23699999999999</v>
      </c>
      <c r="K6" s="48">
        <f>(I6*0.000001)/($K$2*0.000000001)</f>
        <v>93671</v>
      </c>
      <c r="L6" s="46">
        <v>1138.45</v>
      </c>
      <c r="M6" s="47">
        <v>151.23699999999999</v>
      </c>
      <c r="N6" s="48">
        <f>(L6*0.000001)/($N$2*0.000001)</f>
        <v>113845</v>
      </c>
      <c r="O6" s="46">
        <v>2437.5300000000002</v>
      </c>
      <c r="P6" s="47">
        <v>149.41</v>
      </c>
      <c r="Q6" s="48">
        <f>(O6*0.000001)/($Q$2*0.000001)</f>
        <v>121876.50000000001</v>
      </c>
      <c r="R6" s="46">
        <v>5473.28</v>
      </c>
      <c r="S6" s="47">
        <v>151.23699999999999</v>
      </c>
      <c r="T6" s="48">
        <f t="shared" si="4"/>
        <v>109465.59999999999</v>
      </c>
      <c r="U6" s="46">
        <v>10159.9</v>
      </c>
      <c r="V6" s="47">
        <v>151.23699999999999</v>
      </c>
      <c r="W6" s="48">
        <f t="shared" si="5"/>
        <v>101599</v>
      </c>
      <c r="AA6" s="51">
        <v>2.0644999999999998</v>
      </c>
      <c r="AB6" s="52">
        <v>1.9758</v>
      </c>
      <c r="AC6" s="53">
        <f>(AA6*0.000001)/($E$2*0.000000001)</f>
        <v>2064.4999999999995</v>
      </c>
      <c r="AD6" s="51">
        <v>3.4294899999999999</v>
      </c>
      <c r="AE6" s="52">
        <v>2</v>
      </c>
      <c r="AF6" s="53">
        <f>(AD6*0.000001)/($H$2*0.000000001)</f>
        <v>1714.7449999999997</v>
      </c>
      <c r="AG6" s="51">
        <v>7.8237699999999997</v>
      </c>
      <c r="AH6" s="52">
        <v>2</v>
      </c>
      <c r="AI6" s="53">
        <f>(AG6*0.000001)/($K$2*0.000000001)</f>
        <v>1564.7539999999999</v>
      </c>
      <c r="AJ6" s="51">
        <v>16.228300000000001</v>
      </c>
      <c r="AK6" s="52">
        <v>1.9758500000000001</v>
      </c>
      <c r="AL6" s="53">
        <f>(AJ6*0.000001)/($N$2*0.000001)</f>
        <v>1622.8299999999997</v>
      </c>
    </row>
    <row r="7" spans="2:38" x14ac:dyDescent="0.25">
      <c r="AA7" s="51">
        <v>16.228000000000002</v>
      </c>
      <c r="AB7" s="52">
        <v>18.936</v>
      </c>
      <c r="AC7" s="53">
        <f t="shared" ref="AC7:AC8" si="6">(AA7*0.000001)/($E$2*0.000000001)</f>
        <v>16228</v>
      </c>
      <c r="AD7" s="51">
        <v>29.183499999999999</v>
      </c>
      <c r="AE7" s="52">
        <v>17.604399999999998</v>
      </c>
      <c r="AF7" s="53">
        <f t="shared" ref="AF7:AF8" si="7">(AD7*0.000001)/($H$2*0.000000001)</f>
        <v>14591.749999999996</v>
      </c>
      <c r="AG7" s="51">
        <v>66.577100000000002</v>
      </c>
      <c r="AH7" s="52">
        <v>19.167300000000001</v>
      </c>
      <c r="AI7" s="53">
        <f>(AG7*0.000001)/($K$2*0.000000001)</f>
        <v>13315.42</v>
      </c>
      <c r="AJ7" s="51">
        <v>125.56100000000001</v>
      </c>
      <c r="AK7" s="52">
        <v>15.973699999999999</v>
      </c>
      <c r="AL7" s="53">
        <f t="shared" ref="AL7" si="8">(AJ7*0.000001)/($N$2*0.000001)</f>
        <v>12556.1</v>
      </c>
    </row>
    <row r="8" spans="2:38" ht="15.75" thickBot="1" x14ac:dyDescent="0.3">
      <c r="B8" s="20" t="s">
        <v>86</v>
      </c>
      <c r="C8" s="20">
        <f>SLOPE(E4:E6,D4:D6)/1000</f>
        <v>0.70963984817152015</v>
      </c>
      <c r="F8" s="20">
        <f>SLOPE(H4:H6,G4:G6)/1000</f>
        <v>0.80663839859226116</v>
      </c>
      <c r="I8" s="20">
        <f>SLOPE(K4:K6,J4:J6)/1000</f>
        <v>0.61386299816897105</v>
      </c>
      <c r="L8" s="20">
        <f>SLOPE(N4:N6,M4:M6)/1000</f>
        <v>0.7506347654730583</v>
      </c>
      <c r="O8" s="20">
        <f>SLOPE(Q4:Q6,P4:P6)/1000</f>
        <v>0.81540683938344005</v>
      </c>
      <c r="R8" s="20">
        <f>SLOPE(T4:T6,S4:S6)/1000</f>
        <v>0.72401736333832878</v>
      </c>
      <c r="U8" s="20">
        <f>SLOPE(W4:W6,V4:V6)/1000</f>
        <v>0.66850145323611077</v>
      </c>
      <c r="AA8" s="54">
        <v>108.86</v>
      </c>
      <c r="AB8" s="55">
        <v>151.24</v>
      </c>
      <c r="AC8" s="56">
        <f t="shared" si="6"/>
        <v>108859.99999999999</v>
      </c>
      <c r="AD8" s="54">
        <v>244.43199999999999</v>
      </c>
      <c r="AE8" s="55">
        <v>151.23699999999999</v>
      </c>
      <c r="AF8" s="56">
        <f t="shared" si="7"/>
        <v>122215.99999999999</v>
      </c>
      <c r="AG8" s="54">
        <v>468.35500000000002</v>
      </c>
      <c r="AH8" s="55">
        <v>151.23699999999999</v>
      </c>
      <c r="AI8" s="56">
        <f>(AG8*0.000001)/($K$2*0.000000001)</f>
        <v>93671</v>
      </c>
      <c r="AJ8" s="54">
        <v>1138.45</v>
      </c>
      <c r="AK8" s="55">
        <v>151.23699999999999</v>
      </c>
      <c r="AL8" s="56">
        <f>(AJ8*0.000001)/($N$2*0.000001)</f>
        <v>113845</v>
      </c>
    </row>
    <row r="9" spans="2:38" x14ac:dyDescent="0.25">
      <c r="B9" s="20" t="s">
        <v>88</v>
      </c>
      <c r="C9" s="20">
        <f>INTERCEPT(E4:E6,D4:D6)/1000</f>
        <v>1.6622409285153625</v>
      </c>
      <c r="F9" s="20">
        <f>INTERCEPT(H4:H6,G4:G6)/1000</f>
        <v>0.23842056358002447</v>
      </c>
      <c r="I9" s="20">
        <f>INTERCEPT(K4:K6,J4:J6)/1000</f>
        <v>0.90618450159241914</v>
      </c>
      <c r="L9" s="20">
        <f>INTERCEPT(N4:N6,M4:M6)/1000</f>
        <v>0.34220790651805144</v>
      </c>
      <c r="O9" s="20">
        <f>INTERCEPT(Q4:Q6,P4:P6)/1000</f>
        <v>4.9455374752833452E-2</v>
      </c>
      <c r="R9" s="20">
        <f>INTERCEPT(T4:T6,S4:S6)/1000</f>
        <v>-3.6640967001425453E-2</v>
      </c>
      <c r="U9" s="20">
        <f>INTERCEPT(W4:W6,V4:V6)/1000</f>
        <v>0.53034038230013536</v>
      </c>
      <c r="AA9" s="85" t="s">
        <v>83</v>
      </c>
      <c r="AB9" s="86"/>
      <c r="AC9" s="57">
        <v>0.02</v>
      </c>
      <c r="AD9" s="85" t="s">
        <v>83</v>
      </c>
      <c r="AE9" s="86"/>
      <c r="AF9" s="57">
        <v>0.05</v>
      </c>
      <c r="AG9" s="83" t="s">
        <v>83</v>
      </c>
      <c r="AH9" s="84"/>
      <c r="AI9" s="50">
        <v>0.1</v>
      </c>
      <c r="AJ9" s="58"/>
      <c r="AK9" s="49"/>
      <c r="AL9" s="49"/>
    </row>
    <row r="10" spans="2:38" x14ac:dyDescent="0.25">
      <c r="B10" s="20" t="s">
        <v>87</v>
      </c>
      <c r="C10" s="20">
        <f>SUM(C8,F8,I8,L8,O8,R8,U8)/7</f>
        <v>0.72695738090909856</v>
      </c>
      <c r="AA10" s="51" t="s">
        <v>82</v>
      </c>
      <c r="AB10" s="52" t="s">
        <v>81</v>
      </c>
      <c r="AC10" s="53" t="s">
        <v>85</v>
      </c>
      <c r="AD10" s="51" t="s">
        <v>82</v>
      </c>
      <c r="AE10" s="52" t="s">
        <v>81</v>
      </c>
      <c r="AF10" s="53" t="s">
        <v>85</v>
      </c>
      <c r="AG10" s="51" t="s">
        <v>82</v>
      </c>
      <c r="AH10" s="52" t="s">
        <v>81</v>
      </c>
      <c r="AI10" s="53" t="s">
        <v>85</v>
      </c>
      <c r="AJ10" s="49"/>
      <c r="AK10" s="49"/>
      <c r="AL10" s="49"/>
    </row>
    <row r="11" spans="2:38" x14ac:dyDescent="0.25">
      <c r="AA11" s="51">
        <v>33.131700000000002</v>
      </c>
      <c r="AB11" s="52">
        <v>2</v>
      </c>
      <c r="AC11" s="53">
        <f>(AA11*0.000001)/($Q$2*0.000001)</f>
        <v>1656.585</v>
      </c>
      <c r="AD11" s="51">
        <v>72.071899999999999</v>
      </c>
      <c r="AE11" s="52">
        <v>2</v>
      </c>
      <c r="AF11" s="53">
        <f>(AD11*0.000001)/($T$2*0.000001)</f>
        <v>1441.4379999999999</v>
      </c>
      <c r="AG11" s="51">
        <v>154.31200000000001</v>
      </c>
      <c r="AH11" s="52">
        <v>2</v>
      </c>
      <c r="AI11" s="53">
        <f>(AG11*0.000001)/($W$2*0.000001)</f>
        <v>1543.1200000000001</v>
      </c>
      <c r="AJ11" s="49"/>
      <c r="AK11" s="49"/>
      <c r="AL11" s="49"/>
    </row>
    <row r="12" spans="2:38" x14ac:dyDescent="0.25">
      <c r="AA12" s="51">
        <v>295.67700000000002</v>
      </c>
      <c r="AB12" s="52">
        <v>18.037400000000002</v>
      </c>
      <c r="AC12" s="53">
        <f t="shared" ref="AC12" si="9">(AA12*0.000001)/($Q$2*0.000001)</f>
        <v>14783.849999999999</v>
      </c>
      <c r="AD12" s="51">
        <v>707.40599999999995</v>
      </c>
      <c r="AE12" s="52">
        <v>19.6388</v>
      </c>
      <c r="AF12" s="53">
        <f t="shared" ref="AF12:AF13" si="10">(AD12*0.000001)/($T$2*0.000001)</f>
        <v>14148.119999999999</v>
      </c>
      <c r="AG12" s="51">
        <v>1156.6500000000001</v>
      </c>
      <c r="AH12" s="52">
        <v>15.973699999999999</v>
      </c>
      <c r="AI12" s="53">
        <f t="shared" ref="AI12:AI13" si="11">(AG12*0.000001)/($W$2*0.000001)</f>
        <v>11566.5</v>
      </c>
      <c r="AJ12" s="49"/>
      <c r="AK12" s="49"/>
      <c r="AL12" s="49"/>
    </row>
    <row r="13" spans="2:38" ht="15.75" thickBot="1" x14ac:dyDescent="0.3">
      <c r="AA13" s="54">
        <v>2437.5300000000002</v>
      </c>
      <c r="AB13" s="55">
        <v>149.41</v>
      </c>
      <c r="AC13" s="56">
        <f>(AA13*0.000001)/($Q$2*0.000001)</f>
        <v>121876.50000000001</v>
      </c>
      <c r="AD13" s="54">
        <v>5473.28</v>
      </c>
      <c r="AE13" s="55">
        <v>151.23699999999999</v>
      </c>
      <c r="AF13" s="56">
        <f t="shared" si="10"/>
        <v>109465.59999999999</v>
      </c>
      <c r="AG13" s="54">
        <v>10159.9</v>
      </c>
      <c r="AH13" s="55">
        <v>151.23699999999999</v>
      </c>
      <c r="AI13" s="56">
        <f t="shared" si="11"/>
        <v>101599</v>
      </c>
      <c r="AJ13" s="49"/>
      <c r="AK13" s="49"/>
      <c r="AL13" s="49"/>
    </row>
    <row r="14" spans="2:38" x14ac:dyDescent="0.25"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</row>
    <row r="17" spans="29:32" x14ac:dyDescent="0.25">
      <c r="AC17" s="59" t="s">
        <v>89</v>
      </c>
      <c r="AD17" s="59" t="s">
        <v>97</v>
      </c>
      <c r="AE17" s="59" t="s">
        <v>98</v>
      </c>
    </row>
    <row r="18" spans="29:32" x14ac:dyDescent="0.25">
      <c r="AC18" s="59" t="s">
        <v>90</v>
      </c>
      <c r="AD18" s="60">
        <f>SLOPE(E4:E6,D4:D6)/1000</f>
        <v>0.70963984817152015</v>
      </c>
      <c r="AE18" s="80">
        <f>SUM(AD18:AD24)/7</f>
        <v>0.72695738090909856</v>
      </c>
    </row>
    <row r="19" spans="29:32" x14ac:dyDescent="0.25">
      <c r="AC19" s="59" t="s">
        <v>91</v>
      </c>
      <c r="AD19" s="60">
        <f>SLOPE(H4:H6,G4:G6)/1000</f>
        <v>0.80663839859226116</v>
      </c>
      <c r="AE19" s="80"/>
    </row>
    <row r="20" spans="29:32" x14ac:dyDescent="0.25">
      <c r="AC20" s="59" t="s">
        <v>92</v>
      </c>
      <c r="AD20" s="60">
        <f>SLOPE(K4:K6,J4:J6)/1000</f>
        <v>0.61386299816897105</v>
      </c>
      <c r="AE20" s="80"/>
    </row>
    <row r="21" spans="29:32" x14ac:dyDescent="0.25">
      <c r="AC21" s="59" t="s">
        <v>93</v>
      </c>
      <c r="AD21" s="60">
        <f>SLOPE(N4:N6,M4:M6)/1000</f>
        <v>0.7506347654730583</v>
      </c>
      <c r="AE21" s="80"/>
      <c r="AF21" s="49"/>
    </row>
    <row r="22" spans="29:32" x14ac:dyDescent="0.25">
      <c r="AC22" s="59" t="s">
        <v>94</v>
      </c>
      <c r="AD22" s="60">
        <f>SLOPE(Q4:Q6,P4:P6)/1000</f>
        <v>0.81540683938344005</v>
      </c>
      <c r="AE22" s="80"/>
    </row>
    <row r="23" spans="29:32" x14ac:dyDescent="0.25">
      <c r="AC23" s="59" t="s">
        <v>95</v>
      </c>
      <c r="AD23" s="60">
        <f>SLOPE(T4:T6,S4:S6)/1000</f>
        <v>0.72401736333832878</v>
      </c>
      <c r="AE23" s="80"/>
    </row>
    <row r="24" spans="29:32" x14ac:dyDescent="0.25">
      <c r="AC24" s="59" t="s">
        <v>96</v>
      </c>
      <c r="AD24" s="60">
        <f>SLOPE(W4:W6,V4:V6)/1000</f>
        <v>0.66850145323611077</v>
      </c>
      <c r="AE24" s="80"/>
    </row>
  </sheetData>
  <sortState xmlns:xlrd2="http://schemas.microsoft.com/office/spreadsheetml/2017/richdata2" ref="U4:V6">
    <sortCondition ref="U4:U6"/>
  </sortState>
  <mergeCells count="15">
    <mergeCell ref="AG4:AH4"/>
    <mergeCell ref="AJ4:AK4"/>
    <mergeCell ref="AA9:AB9"/>
    <mergeCell ref="AD9:AE9"/>
    <mergeCell ref="AG9:AH9"/>
    <mergeCell ref="AE18:AE24"/>
    <mergeCell ref="R2:S2"/>
    <mergeCell ref="U2:V2"/>
    <mergeCell ref="C2:D2"/>
    <mergeCell ref="F2:G2"/>
    <mergeCell ref="I2:J2"/>
    <mergeCell ref="L2:M2"/>
    <mergeCell ref="O2:P2"/>
    <mergeCell ref="AA4:AB4"/>
    <mergeCell ref="AD4:AE4"/>
  </mergeCells>
  <phoneticPr fontId="1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29ED-0E16-4B7E-81E3-EC340FD86888}">
  <dimension ref="B2:L130"/>
  <sheetViews>
    <sheetView workbookViewId="0">
      <selection activeCell="R33" sqref="R33"/>
    </sheetView>
  </sheetViews>
  <sheetFormatPr defaultRowHeight="15" x14ac:dyDescent="0.25"/>
  <cols>
    <col min="1" max="1" width="9.140625" style="20"/>
    <col min="2" max="2" width="11" style="20" bestFit="1" customWidth="1"/>
    <col min="3" max="9" width="9.140625" style="20"/>
    <col min="10" max="11" width="12" style="20" bestFit="1" customWidth="1"/>
    <col min="12" max="16384" width="9.140625" style="20"/>
  </cols>
  <sheetData>
    <row r="2" spans="2:12" x14ac:dyDescent="0.25">
      <c r="C2" s="2">
        <f>J104</f>
        <v>2.1291096817767328E-5</v>
      </c>
      <c r="D2" s="2"/>
    </row>
    <row r="3" spans="2:12" x14ac:dyDescent="0.25">
      <c r="B3" s="20" t="s">
        <v>101</v>
      </c>
      <c r="F3" s="20" t="s">
        <v>99</v>
      </c>
      <c r="G3" s="20" t="s">
        <v>100</v>
      </c>
      <c r="H3" s="20" t="s">
        <v>12</v>
      </c>
    </row>
    <row r="4" spans="2:12" x14ac:dyDescent="0.25">
      <c r="B4" s="20">
        <v>12000</v>
      </c>
      <c r="C4" s="20">
        <f>(B4*2*PI())/60</f>
        <v>1256.6370614359173</v>
      </c>
      <c r="E4" s="20">
        <v>0</v>
      </c>
      <c r="F4" s="20">
        <v>0</v>
      </c>
      <c r="G4" s="20">
        <f>C4</f>
        <v>1256.6370614359173</v>
      </c>
      <c r="H4" s="20">
        <f t="shared" ref="H4:H13" si="0">(G4*60)/(2*PI())</f>
        <v>12000</v>
      </c>
      <c r="I4" s="20">
        <f>IF(F4-($F$12+($B$8/120))&lt;0,0,F4-($F$12+($B$8/120)))</f>
        <v>0</v>
      </c>
      <c r="L4" s="32">
        <f>(-Ensaios!X28*Jm!F114)/(LN((Ensaios!X29/Ensaios!X28)/(Jm!G14+(Ensaios!X29/Ensaios!X28))))</f>
        <v>2.7202880720563487E-5</v>
      </c>
    </row>
    <row r="5" spans="2:12" x14ac:dyDescent="0.25">
      <c r="E5" s="20">
        <v>1</v>
      </c>
      <c r="F5" s="20">
        <f>F4+($B$8/120)</f>
        <v>3.3333333333333333E-2</v>
      </c>
      <c r="G5" s="20">
        <f>IF(($C$4+(Ensaios!$X$29/Ensaios!$X$28))*(EXP((-Ensaios!$X$28/$C$2)*(IF(F5-($F$12+($B$8/120))&lt;0,0,F5-($F$12+($B$8/120))))))-(Ensaios!$X$29/Ensaios!$X$28)&gt;0,($C$4+(Ensaios!$X$29/Ensaios!$X$28))*(EXP((-Ensaios!$X$28/$C$2)*(IF(F5-($F$12+($B$8/120))&lt;0,0,F5-($F$12+($B$8/120))))))-(Ensaios!$X$29/Ensaios!$X$28),0)</f>
        <v>1256.6370614359171</v>
      </c>
      <c r="H5" s="20">
        <f t="shared" si="0"/>
        <v>11999.999999999998</v>
      </c>
      <c r="I5" s="20">
        <f t="shared" ref="I5:I68" si="1">IF(F5-($F$12+($B$8/120))&lt;0,0,F5-($F$12+($B$8/120)))</f>
        <v>0</v>
      </c>
    </row>
    <row r="6" spans="2:12" x14ac:dyDescent="0.25">
      <c r="E6" s="20">
        <v>2</v>
      </c>
      <c r="F6" s="20">
        <f t="shared" ref="F6:F69" si="2">F5+($B$8/120)</f>
        <v>6.6666666666666666E-2</v>
      </c>
      <c r="G6" s="20">
        <f>IF(($C$4+(Ensaios!$X$29/Ensaios!$X$28))*(EXP((-Ensaios!$X$28/$C$2)*(IF(F6-($F$12+($B$8/120))&lt;0,0,F6-($F$12+($B$8/120))))))-(Ensaios!$X$29/Ensaios!$X$28)&gt;0,($C$4+(Ensaios!$X$29/Ensaios!$X$28))*(EXP((-Ensaios!$X$28/$C$2)*(IF(F6-($F$12+($B$8/120))&lt;0,0,F6-($F$12+($B$8/120))))))-(Ensaios!$X$29/Ensaios!$X$28),0)</f>
        <v>1256.6370614359171</v>
      </c>
      <c r="H6" s="20">
        <f t="shared" si="0"/>
        <v>11999.999999999998</v>
      </c>
      <c r="I6" s="20">
        <f t="shared" si="1"/>
        <v>0</v>
      </c>
    </row>
    <row r="7" spans="2:12" x14ac:dyDescent="0.25">
      <c r="B7" s="20" t="s">
        <v>102</v>
      </c>
      <c r="E7" s="20">
        <v>3</v>
      </c>
      <c r="F7" s="20">
        <f t="shared" si="2"/>
        <v>0.1</v>
      </c>
      <c r="G7" s="20">
        <f>IF(($C$4+(Ensaios!$X$29/Ensaios!$X$28))*(EXP((-Ensaios!$X$28/$C$2)*(IF(F7-($F$12+($B$8/120))&lt;0,0,F7-($F$12+($B$8/120))))))-(Ensaios!$X$29/Ensaios!$X$28)&gt;0,($C$4+(Ensaios!$X$29/Ensaios!$X$28))*(EXP((-Ensaios!$X$28/$C$2)*(IF(F7-($F$12+($B$8/120))&lt;0,0,F7-($F$12+($B$8/120))))))-(Ensaios!$X$29/Ensaios!$X$28),0)</f>
        <v>1256.6370614359171</v>
      </c>
      <c r="H7" s="20">
        <f t="shared" si="0"/>
        <v>11999.999999999998</v>
      </c>
      <c r="I7" s="20">
        <f t="shared" si="1"/>
        <v>0</v>
      </c>
    </row>
    <row r="8" spans="2:12" x14ac:dyDescent="0.25">
      <c r="B8" s="20">
        <v>4</v>
      </c>
      <c r="E8" s="20">
        <v>4</v>
      </c>
      <c r="F8" s="20">
        <f t="shared" si="2"/>
        <v>0.13333333333333333</v>
      </c>
      <c r="G8" s="20">
        <f>IF(($C$4+(Ensaios!$X$29/Ensaios!$X$28))*(EXP((-Ensaios!$X$28/$C$2)*(IF(F8-($F$12+($B$8/120))&lt;0,0,F8-($F$12+($B$8/120))))))-(Ensaios!$X$29/Ensaios!$X$28)&gt;0,($C$4+(Ensaios!$X$29/Ensaios!$X$28))*(EXP((-Ensaios!$X$28/$C$2)*(IF(F8-($F$12+($B$8/120))&lt;0,0,F8-($F$12+($B$8/120))))))-(Ensaios!$X$29/Ensaios!$X$28),0)</f>
        <v>1256.6370614359171</v>
      </c>
      <c r="H8" s="20">
        <f t="shared" si="0"/>
        <v>11999.999999999998</v>
      </c>
      <c r="I8" s="20">
        <f t="shared" si="1"/>
        <v>0</v>
      </c>
    </row>
    <row r="9" spans="2:12" x14ac:dyDescent="0.25">
      <c r="E9" s="20">
        <v>5</v>
      </c>
      <c r="F9" s="20">
        <f t="shared" si="2"/>
        <v>0.16666666666666666</v>
      </c>
      <c r="G9" s="20">
        <f>IF(($C$4+(Ensaios!$X$29/Ensaios!$X$28))*(EXP((-Ensaios!$X$28/$C$2)*(IF(F9-($F$12+($B$8/120))&lt;0,0,F9-($F$12+($B$8/120))))))-(Ensaios!$X$29/Ensaios!$X$28)&gt;0,($C$4+(Ensaios!$X$29/Ensaios!$X$28))*(EXP((-Ensaios!$X$28/$C$2)*(IF(F9-($F$12+($B$8/120))&lt;0,0,F9-($F$12+($B$8/120))))))-(Ensaios!$X$29/Ensaios!$X$28),0)</f>
        <v>1256.6370614359171</v>
      </c>
      <c r="H9" s="20">
        <f t="shared" si="0"/>
        <v>11999.999999999998</v>
      </c>
      <c r="I9" s="20">
        <f t="shared" si="1"/>
        <v>0</v>
      </c>
    </row>
    <row r="10" spans="2:12" x14ac:dyDescent="0.25">
      <c r="E10" s="20">
        <v>6</v>
      </c>
      <c r="F10" s="20">
        <f t="shared" si="2"/>
        <v>0.19999999999999998</v>
      </c>
      <c r="G10" s="20">
        <f>IF(($C$4+(Ensaios!$X$29/Ensaios!$X$28))*(EXP((-Ensaios!$X$28/$C$2)*(IF(F10-($F$12+($B$8/120))&lt;0,0,F10-($F$12+($B$8/120))))))-(Ensaios!$X$29/Ensaios!$X$28)&gt;0,($C$4+(Ensaios!$X$29/Ensaios!$X$28))*(EXP((-Ensaios!$X$28/$C$2)*(IF(F10-($F$12+($B$8/120))&lt;0,0,F10-($F$12+($B$8/120))))))-(Ensaios!$X$29/Ensaios!$X$28),0)</f>
        <v>1256.6370614359171</v>
      </c>
      <c r="H10" s="20">
        <f t="shared" si="0"/>
        <v>11999.999999999998</v>
      </c>
      <c r="I10" s="20">
        <f t="shared" si="1"/>
        <v>0</v>
      </c>
    </row>
    <row r="11" spans="2:12" x14ac:dyDescent="0.25">
      <c r="E11" s="20">
        <v>7</v>
      </c>
      <c r="F11" s="20">
        <f t="shared" si="2"/>
        <v>0.23333333333333331</v>
      </c>
      <c r="G11" s="20">
        <f>IF(($C$4+(Ensaios!$X$29/Ensaios!$X$28))*(EXP((-Ensaios!$X$28/$C$2)*(IF(F11-($F$12+($B$8/120))&lt;0,0,F11-($F$12+($B$8/120))))))-(Ensaios!$X$29/Ensaios!$X$28)&gt;0,($C$4+(Ensaios!$X$29/Ensaios!$X$28))*(EXP((-Ensaios!$X$28/$C$2)*(IF(F11-($F$12+($B$8/120))&lt;0,0,F11-($F$12+($B$8/120))))))-(Ensaios!$X$29/Ensaios!$X$28),0)</f>
        <v>1256.6370614359171</v>
      </c>
      <c r="H11" s="20">
        <f t="shared" si="0"/>
        <v>11999.999999999998</v>
      </c>
      <c r="I11" s="20">
        <f t="shared" si="1"/>
        <v>0</v>
      </c>
    </row>
    <row r="12" spans="2:12" x14ac:dyDescent="0.25">
      <c r="E12" s="20">
        <v>8</v>
      </c>
      <c r="F12" s="20">
        <f t="shared" si="2"/>
        <v>0.26666666666666666</v>
      </c>
      <c r="G12" s="20">
        <f>IF(($C$4+(Ensaios!$X$29/Ensaios!$X$28))*(EXP((-Ensaios!$X$28/$C$2)*(IF(F12-($F$12+($B$8/120))&lt;0,0,F12-($F$12+($B$8/120))))))-(Ensaios!$X$29/Ensaios!$X$28)&gt;0,($C$4+(Ensaios!$X$29/Ensaios!$X$28))*(EXP((-Ensaios!$X$28/$C$2)*(IF(F12-($F$12+($B$8/120))&lt;0,0,F12-($F$12+($B$8/120))))))-(Ensaios!$X$29/Ensaios!$X$28),0)</f>
        <v>1256.6370614359171</v>
      </c>
      <c r="H12" s="20">
        <f t="shared" si="0"/>
        <v>11999.999999999998</v>
      </c>
      <c r="I12" s="20">
        <f t="shared" si="1"/>
        <v>0</v>
      </c>
    </row>
    <row r="13" spans="2:12" x14ac:dyDescent="0.25">
      <c r="E13" s="20">
        <v>9</v>
      </c>
      <c r="F13" s="20">
        <f t="shared" si="2"/>
        <v>0.3</v>
      </c>
      <c r="G13" s="20">
        <f>IF(($C$4+(Ensaios!$X$29/Ensaios!$X$28))*(EXP((-Ensaios!$X$28/$C$2)*(IF(F13-($F$12+($B$8/120))&lt;0,0,F13-($F$12+($B$8/120))))))-(Ensaios!$X$29/Ensaios!$X$28)&gt;0,($C$4+(Ensaios!$X$29/Ensaios!$X$28))*(EXP((-Ensaios!$X$28/$C$2)*(IF(F13-($F$12+($B$8/120))&lt;0,0,F13-($F$12+($B$8/120))))))-(Ensaios!$X$29/Ensaios!$X$28),0)</f>
        <v>1256.6370614359171</v>
      </c>
      <c r="H13" s="20">
        <f t="shared" si="0"/>
        <v>11999.999999999998</v>
      </c>
      <c r="I13" s="20">
        <f t="shared" si="1"/>
        <v>0</v>
      </c>
    </row>
    <row r="14" spans="2:12" x14ac:dyDescent="0.25">
      <c r="E14" s="20">
        <v>10</v>
      </c>
      <c r="F14" s="20">
        <f>F13+($B$8/120)</f>
        <v>0.33333333333333331</v>
      </c>
      <c r="G14" s="20">
        <f>IF(($C$4+(Ensaios!$X$29/Ensaios!$X$28))*(EXP((-Ensaios!$X$28/$C$2)*(IF(F14-($F$12+($B$8/120))&lt;0,0,F14-($F$12+($B$8/120))))))-(Ensaios!$X$29/Ensaios!$X$28)&gt;0,($C$4+(Ensaios!$X$29/Ensaios!$X$28))*(EXP((-Ensaios!$X$28/$C$2)*(IF(F14-($F$12+($B$8/120))&lt;0,0,F14-($F$12+($B$8/120))))))-(Ensaios!$X$29/Ensaios!$X$28),0)</f>
        <v>1237.4175313061423</v>
      </c>
      <c r="H14" s="20">
        <f>(G14*60)/(2*PI())</f>
        <v>11816.467006556562</v>
      </c>
    </row>
    <row r="15" spans="2:12" x14ac:dyDescent="0.25">
      <c r="E15" s="20">
        <v>11</v>
      </c>
      <c r="F15" s="20">
        <f t="shared" si="2"/>
        <v>0.36666666666666664</v>
      </c>
      <c r="G15" s="20">
        <f>IF(($C$4+(Ensaios!$X$29/Ensaios!$X$28))*(EXP((-Ensaios!$X$28/$C$2)*(IF(F15-($F$12+($B$8/120))&lt;0,0,F15-($F$12+($B$8/120))))))-(Ensaios!$X$29/Ensaios!$X$28)&gt;0,($C$4+(Ensaios!$X$29/Ensaios!$X$28))*(EXP((-Ensaios!$X$28/$C$2)*(IF(F15-($F$12+($B$8/120))&lt;0,0,F15-($F$12+($B$8/120))))))-(Ensaios!$X$29/Ensaios!$X$28),0)</f>
        <v>1218.3324797196206</v>
      </c>
      <c r="H15" s="20">
        <f t="shared" ref="H15:H78" si="3">(G15*60)/(2*PI())</f>
        <v>11634.218188607036</v>
      </c>
      <c r="I15" s="20">
        <f t="shared" si="1"/>
        <v>6.6666666666666652E-2</v>
      </c>
    </row>
    <row r="16" spans="2:12" x14ac:dyDescent="0.25">
      <c r="E16" s="20">
        <v>12</v>
      </c>
      <c r="F16" s="20">
        <f t="shared" si="2"/>
        <v>0.39999999999999997</v>
      </c>
      <c r="G16" s="20">
        <f>IF(($C$4+(Ensaios!$X$29/Ensaios!$X$28))*(EXP((-Ensaios!$X$28/$C$2)*(IF(F16-($F$12+($B$8/120))&lt;0,0,F16-($F$12+($B$8/120))))))-(Ensaios!$X$29/Ensaios!$X$28)&gt;0,($C$4+(Ensaios!$X$29/Ensaios!$X$28))*(EXP((-Ensaios!$X$28/$C$2)*(IF(F16-($F$12+($B$8/120))&lt;0,0,F16-($F$12+($B$8/120))))))-(Ensaios!$X$29/Ensaios!$X$28),0)</f>
        <v>1199.3809657335469</v>
      </c>
      <c r="H16" s="20">
        <f t="shared" si="3"/>
        <v>11453.244560809508</v>
      </c>
      <c r="I16" s="20">
        <f t="shared" si="1"/>
        <v>9.9999999999999978E-2</v>
      </c>
    </row>
    <row r="17" spans="5:9" x14ac:dyDescent="0.25">
      <c r="E17" s="20">
        <v>13</v>
      </c>
      <c r="F17" s="20">
        <f t="shared" si="2"/>
        <v>0.43333333333333329</v>
      </c>
      <c r="G17" s="20">
        <f>IF(($C$4+(Ensaios!$X$29/Ensaios!$X$28))*(EXP((-Ensaios!$X$28/$C$2)*(IF(F17-($F$12+($B$8/120))&lt;0,0,F17-($F$12+($B$8/120))))))-(Ensaios!$X$29/Ensaios!$X$28)&gt;0,($C$4+(Ensaios!$X$29/Ensaios!$X$28))*(EXP((-Ensaios!$X$28/$C$2)*(IF(F17-($F$12+($B$8/120))&lt;0,0,F17-($F$12+($B$8/120))))))-(Ensaios!$X$29/Ensaios!$X$28),0)</f>
        <v>1180.5620549888672</v>
      </c>
      <c r="H17" s="20">
        <f t="shared" si="3"/>
        <v>11273.537200692252</v>
      </c>
      <c r="I17" s="20">
        <f t="shared" si="1"/>
        <v>0.1333333333333333</v>
      </c>
    </row>
    <row r="18" spans="5:9" x14ac:dyDescent="0.25">
      <c r="E18" s="20">
        <v>14</v>
      </c>
      <c r="F18" s="20">
        <f t="shared" si="2"/>
        <v>0.46666666666666662</v>
      </c>
      <c r="G18" s="20">
        <f>IF(($C$4+(Ensaios!$X$29/Ensaios!$X$28))*(EXP((-Ensaios!$X$28/$C$2)*(IF(F18-($F$12+($B$8/120))&lt;0,0,F18-($F$12+($B$8/120))))))-(Ensaios!$X$29/Ensaios!$X$28)&gt;0,($C$4+(Ensaios!$X$29/Ensaios!$X$28))*(EXP((-Ensaios!$X$28/$C$2)*(IF(F18-($F$12+($B$8/120))&lt;0,0,F18-($F$12+($B$8/120))))))-(Ensaios!$X$29/Ensaios!$X$28),0)</f>
        <v>1161.8748196642146</v>
      </c>
      <c r="H18" s="20">
        <f t="shared" si="3"/>
        <v>11095.087248213853</v>
      </c>
      <c r="I18" s="20">
        <f t="shared" si="1"/>
        <v>0.16666666666666663</v>
      </c>
    </row>
    <row r="19" spans="5:9" x14ac:dyDescent="0.25">
      <c r="E19" s="20">
        <v>15</v>
      </c>
      <c r="F19" s="20">
        <f t="shared" si="2"/>
        <v>0.49999999999999994</v>
      </c>
      <c r="G19" s="20">
        <f>IF(($C$4+(Ensaios!$X$29/Ensaios!$X$28))*(EXP((-Ensaios!$X$28/$C$2)*(IF(F19-($F$12+($B$8/120))&lt;0,0,F19-($F$12+($B$8/120))))))-(Ensaios!$X$29/Ensaios!$X$28)&gt;0,($C$4+(Ensaios!$X$29/Ensaios!$X$28))*(EXP((-Ensaios!$X$28/$C$2)*(IF(F19-($F$12+($B$8/120))&lt;0,0,F19-($F$12+($B$8/120))))))-(Ensaios!$X$29/Ensaios!$X$28),0)</f>
        <v>1143.3183384301624</v>
      </c>
      <c r="H19" s="20">
        <f t="shared" si="3"/>
        <v>10917.88590532637</v>
      </c>
      <c r="I19" s="20">
        <f t="shared" si="1"/>
        <v>0.19999999999999996</v>
      </c>
    </row>
    <row r="20" spans="5:9" x14ac:dyDescent="0.25">
      <c r="E20" s="20">
        <v>16</v>
      </c>
      <c r="F20" s="20">
        <f t="shared" si="2"/>
        <v>0.53333333333333333</v>
      </c>
      <c r="G20" s="20">
        <f>IF(($C$4+(Ensaios!$X$29/Ensaios!$X$28))*(EXP((-Ensaios!$X$28/$C$2)*(IF(F20-($F$12+($B$8/120))&lt;0,0,F20-($F$12+($B$8/120))))))-(Ensaios!$X$29/Ensaios!$X$28)&gt;0,($C$4+(Ensaios!$X$29/Ensaios!$X$28))*(EXP((-Ensaios!$X$28/$C$2)*(IF(F20-($F$12+($B$8/120))&lt;0,0,F20-($F$12+($B$8/120))))))-(Ensaios!$X$29/Ensaios!$X$28),0)</f>
        <v>1124.8916964038021</v>
      </c>
      <c r="H20" s="20">
        <f t="shared" si="3"/>
        <v>10741.924435541563</v>
      </c>
      <c r="I20" s="20">
        <f t="shared" si="1"/>
        <v>0.23333333333333334</v>
      </c>
    </row>
    <row r="21" spans="5:9" x14ac:dyDescent="0.25">
      <c r="E21" s="20">
        <v>17</v>
      </c>
      <c r="F21" s="20">
        <f t="shared" si="2"/>
        <v>0.56666666666666665</v>
      </c>
      <c r="G21" s="20">
        <f>IF(($C$4+(Ensaios!$X$29/Ensaios!$X$28))*(EXP((-Ensaios!$X$28/$C$2)*(IF(F21-($F$12+($B$8/120))&lt;0,0,F21-($F$12+($B$8/120))))))-(Ensaios!$X$29/Ensaios!$X$28)&gt;0,($C$4+(Ensaios!$X$29/Ensaios!$X$28))*(EXP((-Ensaios!$X$28/$C$2)*(IF(F21-($F$12+($B$8/120))&lt;0,0,F21-($F$12+($B$8/120))))))-(Ensaios!$X$29/Ensaios!$X$28),0)</f>
        <v>1106.593985103636</v>
      </c>
      <c r="H21" s="20">
        <f t="shared" si="3"/>
        <v>10567.194163500173</v>
      </c>
      <c r="I21" s="20">
        <f t="shared" si="1"/>
        <v>0.26666666666666666</v>
      </c>
    </row>
    <row r="22" spans="5:9" x14ac:dyDescent="0.25">
      <c r="E22" s="20">
        <v>18</v>
      </c>
      <c r="F22" s="20">
        <f t="shared" si="2"/>
        <v>0.6</v>
      </c>
      <c r="G22" s="20">
        <f>IF(($C$4+(Ensaios!$X$29/Ensaios!$X$28))*(EXP((-Ensaios!$X$28/$C$2)*(IF(F22-($F$12+($B$8/120))&lt;0,0,F22-($F$12+($B$8/120))))))-(Ensaios!$X$29/Ensaios!$X$28)&gt;0,($C$4+(Ensaios!$X$29/Ensaios!$X$28))*(EXP((-Ensaios!$X$28/$C$2)*(IF(F22-($F$12+($B$8/120))&lt;0,0,F22-($F$12+($B$8/120))))))-(Ensaios!$X$29/Ensaios!$X$28),0)</f>
        <v>1088.4243024047887</v>
      </c>
      <c r="H22" s="20">
        <f t="shared" si="3"/>
        <v>10393.686474544202</v>
      </c>
      <c r="I22" s="20">
        <f t="shared" si="1"/>
        <v>0.3</v>
      </c>
    </row>
    <row r="23" spans="5:9" x14ac:dyDescent="0.25">
      <c r="E23" s="20">
        <v>19</v>
      </c>
      <c r="F23" s="20">
        <f t="shared" si="2"/>
        <v>0.6333333333333333</v>
      </c>
      <c r="G23" s="20">
        <f>IF(($C$4+(Ensaios!$X$29/Ensaios!$X$28))*(EXP((-Ensaios!$X$28/$C$2)*(IF(F23-($F$12+($B$8/120))&lt;0,0,F23-($F$12+($B$8/120))))))-(Ensaios!$X$29/Ensaios!$X$28)&gt;0,($C$4+(Ensaios!$X$29/Ensaios!$X$28))*(EXP((-Ensaios!$X$28/$C$2)*(IF(F23-($F$12+($B$8/120))&lt;0,0,F23-($F$12+($B$8/120))))))-(Ensaios!$X$29/Ensaios!$X$28),0)</f>
        <v>1070.3817524945275</v>
      </c>
      <c r="H23" s="20">
        <f t="shared" si="3"/>
        <v>10221.392814292183</v>
      </c>
      <c r="I23" s="20">
        <f t="shared" si="1"/>
        <v>0.33333333333333331</v>
      </c>
    </row>
    <row r="24" spans="5:9" x14ac:dyDescent="0.25">
      <c r="E24" s="20">
        <v>20</v>
      </c>
      <c r="F24" s="20">
        <f t="shared" si="2"/>
        <v>0.66666666666666663</v>
      </c>
      <c r="G24" s="20">
        <f>IF(($C$4+(Ensaios!$X$29/Ensaios!$X$28))*(EXP((-Ensaios!$X$28/$C$2)*(IF(F24-($F$12+($B$8/120))&lt;0,0,F24-($F$12+($B$8/120))))))-(Ensaios!$X$29/Ensaios!$X$28)&gt;0,($C$4+(Ensaios!$X$29/Ensaios!$X$28))*(EXP((-Ensaios!$X$28/$C$2)*(IF(F24-($F$12+($B$8/120))&lt;0,0,F24-($F$12+($B$8/120))))))-(Ensaios!$X$29/Ensaios!$X$28),0)</f>
        <v>1052.4654458280979</v>
      </c>
      <c r="H24" s="20">
        <f t="shared" si="3"/>
        <v>10050.304688217431</v>
      </c>
      <c r="I24" s="20">
        <f t="shared" si="1"/>
        <v>0.36666666666666664</v>
      </c>
    </row>
    <row r="25" spans="5:9" x14ac:dyDescent="0.25">
      <c r="E25" s="20">
        <v>21</v>
      </c>
      <c r="F25" s="20">
        <f t="shared" si="2"/>
        <v>0.7</v>
      </c>
      <c r="G25" s="20">
        <f>IF(($C$4+(Ensaios!$X$29/Ensaios!$X$28))*(EXP((-Ensaios!$X$28/$C$2)*(IF(F25-($F$12+($B$8/120))&lt;0,0,F25-($F$12+($B$8/120))))))-(Ensaios!$X$29/Ensaios!$X$28)&gt;0,($C$4+(Ensaios!$X$29/Ensaios!$X$28))*(EXP((-Ensaios!$X$28/$C$2)*(IF(F25-($F$12+($B$8/120))&lt;0,0,F25-($F$12+($B$8/120))))))-(Ensaios!$X$29/Ensaios!$X$28),0)</f>
        <v>1034.674499084867</v>
      </c>
      <c r="H25" s="20">
        <f t="shared" si="3"/>
        <v>9880.4136612292386</v>
      </c>
      <c r="I25" s="20">
        <f t="shared" si="1"/>
        <v>0.39999999999999997</v>
      </c>
    </row>
    <row r="26" spans="5:9" x14ac:dyDescent="0.25">
      <c r="E26" s="20">
        <v>22</v>
      </c>
      <c r="F26" s="20">
        <f t="shared" si="2"/>
        <v>0.73333333333333328</v>
      </c>
      <c r="G26" s="20">
        <f>IF(($C$4+(Ensaios!$X$29/Ensaios!$X$28))*(EXP((-Ensaios!$X$28/$C$2)*(IF(F26-($F$12+($B$8/120))&lt;0,0,F26-($F$12+($B$8/120))))))-(Ensaios!$X$29/Ensaios!$X$28)&gt;0,($C$4+(Ensaios!$X$29/Ensaios!$X$28))*(EXP((-Ensaios!$X$28/$C$2)*(IF(F26-($F$12+($B$8/120))&lt;0,0,F26-($F$12+($B$8/120))))))-(Ensaios!$X$29/Ensaios!$X$28),0)</f>
        <v>1017.0080351247716</v>
      </c>
      <c r="H26" s="20">
        <f t="shared" si="3"/>
        <v>9711.7113572569997</v>
      </c>
      <c r="I26" s="20">
        <f t="shared" si="1"/>
        <v>0.43333333333333329</v>
      </c>
    </row>
    <row r="27" spans="5:9" x14ac:dyDescent="0.25">
      <c r="E27" s="20">
        <v>23</v>
      </c>
      <c r="F27" s="20">
        <f t="shared" si="2"/>
        <v>0.76666666666666661</v>
      </c>
      <c r="G27" s="20">
        <f>IF(($C$4+(Ensaios!$X$29/Ensaios!$X$28))*(EXP((-Ensaios!$X$28/$C$2)*(IF(F27-($F$12+($B$8/120))&lt;0,0,F27-($F$12+($B$8/120))))))-(Ensaios!$X$29/Ensaios!$X$28)&gt;0,($C$4+(Ensaios!$X$29/Ensaios!$X$28))*(EXP((-Ensaios!$X$28/$C$2)*(IF(F27-($F$12+($B$8/120))&lt;0,0,F27-($F$12+($B$8/120))))))-(Ensaios!$X$29/Ensaios!$X$28),0)</f>
        <v>999.46518294507632</v>
      </c>
      <c r="H27" s="20">
        <f t="shared" si="3"/>
        <v>9544.1894588372634</v>
      </c>
      <c r="I27" s="20">
        <f t="shared" si="1"/>
        <v>0.46666666666666662</v>
      </c>
    </row>
    <row r="28" spans="5:9" x14ac:dyDescent="0.25">
      <c r="E28" s="20">
        <v>24</v>
      </c>
      <c r="F28" s="20">
        <f t="shared" si="2"/>
        <v>0.79999999999999993</v>
      </c>
      <c r="G28" s="20">
        <f>IF(($C$4+(Ensaios!$X$29/Ensaios!$X$28))*(EXP((-Ensaios!$X$28/$C$2)*(IF(F28-($F$12+($B$8/120))&lt;0,0,F28-($F$12+($B$8/120))))))-(Ensaios!$X$29/Ensaios!$X$28)&gt;0,($C$4+(Ensaios!$X$29/Ensaios!$X$28))*(EXP((-Ensaios!$X$28/$C$2)*(IF(F28-($F$12+($B$8/120))&lt;0,0,F28-($F$12+($B$8/120))))))-(Ensaios!$X$29/Ensaios!$X$28),0)</f>
        <v>982.04507763742686</v>
      </c>
      <c r="H28" s="20">
        <f t="shared" si="3"/>
        <v>9377.8397067036367</v>
      </c>
      <c r="I28" s="20">
        <f t="shared" si="1"/>
        <v>0.49999999999999994</v>
      </c>
    </row>
    <row r="29" spans="5:9" x14ac:dyDescent="0.25">
      <c r="E29" s="20">
        <v>25</v>
      </c>
      <c r="F29" s="20">
        <f t="shared" si="2"/>
        <v>0.83333333333333326</v>
      </c>
      <c r="G29" s="20">
        <f>IF(($C$4+(Ensaios!$X$29/Ensaios!$X$28))*(EXP((-Ensaios!$X$28/$C$2)*(IF(F29-($F$12+($B$8/120))&lt;0,0,F29-($F$12+($B$8/120))))))-(Ensaios!$X$29/Ensaios!$X$28)&gt;0,($C$4+(Ensaios!$X$29/Ensaios!$X$28))*(EXP((-Ensaios!$X$28/$C$2)*(IF(F29-($F$12+($B$8/120))&lt;0,0,F29-($F$12+($B$8/120))))))-(Ensaios!$X$29/Ensaios!$X$28),0)</f>
        <v>964.74686034521164</v>
      </c>
      <c r="H29" s="20">
        <f t="shared" si="3"/>
        <v>9212.653899379613</v>
      </c>
      <c r="I29" s="20">
        <f t="shared" si="1"/>
        <v>0.53333333333333321</v>
      </c>
    </row>
    <row r="30" spans="5:9" x14ac:dyDescent="0.25">
      <c r="E30" s="20">
        <v>26</v>
      </c>
      <c r="F30" s="20">
        <f t="shared" si="2"/>
        <v>0.86666666666666659</v>
      </c>
      <c r="G30" s="20">
        <f>IF(($C$4+(Ensaios!$X$29/Ensaios!$X$28))*(EXP((-Ensaios!$X$28/$C$2)*(IF(F30-($F$12+($B$8/120))&lt;0,0,F30-($F$12+($B$8/120))))))-(Ensaios!$X$29/Ensaios!$X$28)&gt;0,($C$4+(Ensaios!$X$29/Ensaios!$X$28))*(EXP((-Ensaios!$X$28/$C$2)*(IF(F30-($F$12+($B$8/120))&lt;0,0,F30-($F$12+($B$8/120))))))-(Ensaios!$X$29/Ensaios!$X$28),0)</f>
        <v>947.56967822121442</v>
      </c>
      <c r="H30" s="20">
        <f t="shared" si="3"/>
        <v>9048.6238927741779</v>
      </c>
      <c r="I30" s="20">
        <f t="shared" si="1"/>
        <v>0.56666666666666665</v>
      </c>
    </row>
    <row r="31" spans="5:9" x14ac:dyDescent="0.25">
      <c r="E31" s="20">
        <v>27</v>
      </c>
      <c r="F31" s="20">
        <f t="shared" si="2"/>
        <v>0.89999999999999991</v>
      </c>
      <c r="G31" s="20">
        <f>IF(($C$4+(Ensaios!$X$29/Ensaios!$X$28))*(EXP((-Ensaios!$X$28/$C$2)*(IF(F31-($F$12+($B$8/120))&lt;0,0,F31-($F$12+($B$8/120))))))-(Ensaios!$X$29/Ensaios!$X$28)&gt;0,($C$4+(Ensaios!$X$29/Ensaios!$X$28))*(EXP((-Ensaios!$X$28/$C$2)*(IF(F31-($F$12+($B$8/120))&lt;0,0,F31-($F$12+($B$8/120))))))-(Ensaios!$X$29/Ensaios!$X$28),0)</f>
        <v>930.51268438556917</v>
      </c>
      <c r="H31" s="20">
        <f t="shared" si="3"/>
        <v>8885.7415997803218</v>
      </c>
      <c r="I31" s="20">
        <f t="shared" si="1"/>
        <v>0.59999999999999987</v>
      </c>
    </row>
    <row r="32" spans="5:9" x14ac:dyDescent="0.25">
      <c r="E32" s="20">
        <v>28</v>
      </c>
      <c r="F32" s="20">
        <f t="shared" si="2"/>
        <v>0.93333333333333324</v>
      </c>
      <c r="G32" s="20">
        <f>IF(($C$4+(Ensaios!$X$29/Ensaios!$X$28))*(EXP((-Ensaios!$X$28/$C$2)*(IF(F32-($F$12+($B$8/120))&lt;0,0,F32-($F$12+($B$8/120))))))-(Ensaios!$X$29/Ensaios!$X$28)&gt;0,($C$4+(Ensaios!$X$29/Ensaios!$X$28))*(EXP((-Ensaios!$X$28/$C$2)*(IF(F32-($F$12+($B$8/120))&lt;0,0,F32-($F$12+($B$8/120))))))-(Ensaios!$X$29/Ensaios!$X$28),0)</f>
        <v>913.57503788400572</v>
      </c>
      <c r="H32" s="20">
        <f t="shared" si="3"/>
        <v>8723.9989898763033</v>
      </c>
      <c r="I32" s="20">
        <f t="shared" si="1"/>
        <v>0.6333333333333333</v>
      </c>
    </row>
    <row r="33" spans="5:9" x14ac:dyDescent="0.25">
      <c r="E33" s="20">
        <v>29</v>
      </c>
      <c r="F33" s="20">
        <f t="shared" si="2"/>
        <v>0.96666666666666656</v>
      </c>
      <c r="G33" s="20">
        <f>IF(($C$4+(Ensaios!$X$29/Ensaios!$X$28))*(EXP((-Ensaios!$X$28/$C$2)*(IF(F33-($F$12+($B$8/120))&lt;0,0,F33-($F$12+($B$8/120))))))-(Ensaios!$X$29/Ensaios!$X$28)&gt;0,($C$4+(Ensaios!$X$29/Ensaios!$X$28))*(EXP((-Ensaios!$X$28/$C$2)*(IF(F33-($F$12+($B$8/120))&lt;0,0,F33-($F$12+($B$8/120))))))-(Ensaios!$X$29/Ensaios!$X$28),0)</f>
        <v>896.75590364638902</v>
      </c>
      <c r="H33" s="20">
        <f t="shared" si="3"/>
        <v>8563.3880887297328</v>
      </c>
      <c r="I33" s="20">
        <f t="shared" si="1"/>
        <v>0.66666666666666652</v>
      </c>
    </row>
    <row r="34" spans="5:9" x14ac:dyDescent="0.25">
      <c r="E34" s="20">
        <v>30</v>
      </c>
      <c r="F34" s="20">
        <f t="shared" si="2"/>
        <v>0.99999999999999989</v>
      </c>
      <c r="G34" s="20">
        <f>IF(($C$4+(Ensaios!$X$29/Ensaios!$X$28))*(EXP((-Ensaios!$X$28/$C$2)*(IF(F34-($F$12+($B$8/120))&lt;0,0,F34-($F$12+($B$8/120))))))-(Ensaios!$X$29/Ensaios!$X$28)&gt;0,($C$4+(Ensaios!$X$29/Ensaios!$X$28))*(EXP((-Ensaios!$X$28/$C$2)*(IF(F34-($F$12+($B$8/120))&lt;0,0,F34-($F$12+($B$8/120))))))-(Ensaios!$X$29/Ensaios!$X$28),0)</f>
        <v>880.05445244554676</v>
      </c>
      <c r="H34" s="20">
        <f t="shared" si="3"/>
        <v>8403.9009778044056</v>
      </c>
      <c r="I34" s="20">
        <f t="shared" si="1"/>
        <v>0.7</v>
      </c>
    </row>
    <row r="35" spans="5:9" x14ac:dyDescent="0.25">
      <c r="E35" s="20">
        <v>31</v>
      </c>
      <c r="F35" s="20">
        <f t="shared" si="2"/>
        <v>1.0333333333333332</v>
      </c>
      <c r="G35" s="20">
        <f>IF(($C$4+(Ensaios!$X$29/Ensaios!$X$28))*(EXP((-Ensaios!$X$28/$C$2)*(IF(F35-($F$12+($B$8/120))&lt;0,0,F35-($F$12+($B$8/120))))))-(Ensaios!$X$29/Ensaios!$X$28)&gt;0,($C$4+(Ensaios!$X$29/Ensaios!$X$28))*(EXP((-Ensaios!$X$28/$C$2)*(IF(F35-($F$12+($B$8/120))&lt;0,0,F35-($F$12+($B$8/120))))))-(Ensaios!$X$29/Ensaios!$X$28),0)</f>
        <v>863.4698608563881</v>
      </c>
      <c r="H35" s="20">
        <f t="shared" si="3"/>
        <v>8245.529793969914</v>
      </c>
      <c r="I35" s="20">
        <f t="shared" si="1"/>
        <v>0.73333333333333317</v>
      </c>
    </row>
    <row r="36" spans="5:9" x14ac:dyDescent="0.25">
      <c r="E36" s="20">
        <v>32</v>
      </c>
      <c r="F36" s="20">
        <f t="shared" si="2"/>
        <v>1.0666666666666667</v>
      </c>
      <c r="G36" s="20">
        <f>IF(($C$4+(Ensaios!$X$29/Ensaios!$X$28))*(EXP((-Ensaios!$X$28/$C$2)*(IF(F36-($F$12+($B$8/120))&lt;0,0,F36-($F$12+($B$8/120))))))-(Ensaios!$X$29/Ensaios!$X$28)&gt;0,($C$4+(Ensaios!$X$29/Ensaios!$X$28))*(EXP((-Ensaios!$X$28/$C$2)*(IF(F36-($F$12+($B$8/120))&lt;0,0,F36-($F$12+($B$8/120))))))-(Ensaios!$X$29/Ensaios!$X$28),0)</f>
        <v>847.00131121530421</v>
      </c>
      <c r="H36" s="20">
        <f t="shared" si="3"/>
        <v>8088.2667291139487</v>
      </c>
      <c r="I36" s="20">
        <f t="shared" si="1"/>
        <v>0.76666666666666661</v>
      </c>
    </row>
    <row r="37" spans="5:9" x14ac:dyDescent="0.25">
      <c r="E37" s="20">
        <v>33</v>
      </c>
      <c r="F37" s="20">
        <f t="shared" si="2"/>
        <v>1.1000000000000001</v>
      </c>
      <c r="G37" s="20">
        <f>IF(($C$4+(Ensaios!$X$29/Ensaios!$X$28))*(EXP((-Ensaios!$X$28/$C$2)*(IF(F37-($F$12+($B$8/120))&lt;0,0,F37-($F$12+($B$8/120))))))-(Ensaios!$X$29/Ensaios!$X$28)&gt;0,($C$4+(Ensaios!$X$29/Ensaios!$X$28))*(EXP((-Ensaios!$X$28/$C$2)*(IF(F37-($F$12+($B$8/120))&lt;0,0,F37-($F$12+($B$8/120))))))-(Ensaios!$X$29/Ensaios!$X$28),0)</f>
        <v>830.64799157985999</v>
      </c>
      <c r="H37" s="20">
        <f t="shared" si="3"/>
        <v>7932.1040297573873</v>
      </c>
      <c r="I37" s="20">
        <f t="shared" si="1"/>
        <v>0.8</v>
      </c>
    </row>
    <row r="38" spans="5:9" x14ac:dyDescent="0.25">
      <c r="E38" s="20">
        <v>34</v>
      </c>
      <c r="F38" s="20">
        <f t="shared" si="2"/>
        <v>1.1333333333333335</v>
      </c>
      <c r="G38" s="20">
        <f>IF(($C$4+(Ensaios!$X$29/Ensaios!$X$28))*(EXP((-Ensaios!$X$28/$C$2)*(IF(F38-($F$12+($B$8/120))&lt;0,0,F38-($F$12+($B$8/120))))))-(Ensaios!$X$29/Ensaios!$X$28)&gt;0,($C$4+(Ensaios!$X$29/Ensaios!$X$28))*(EXP((-Ensaios!$X$28/$C$2)*(IF(F38-($F$12+($B$8/120))&lt;0,0,F38-($F$12+($B$8/120))))))-(Ensaios!$X$29/Ensaios!$X$28),0)</f>
        <v>814.40909568875622</v>
      </c>
      <c r="H38" s="20">
        <f t="shared" si="3"/>
        <v>7777.0339966719566</v>
      </c>
      <c r="I38" s="20">
        <f t="shared" si="1"/>
        <v>0.83333333333333348</v>
      </c>
    </row>
    <row r="39" spans="5:9" x14ac:dyDescent="0.25">
      <c r="E39" s="20">
        <v>35</v>
      </c>
      <c r="F39" s="20">
        <f t="shared" si="2"/>
        <v>1.166666666666667</v>
      </c>
      <c r="G39" s="20">
        <f>IF(($C$4+(Ensaios!$X$29/Ensaios!$X$28))*(EXP((-Ensaios!$X$28/$C$2)*(IF(F39-($F$12+($B$8/120))&lt;0,0,F39-($F$12+($B$8/120))))))-(Ensaios!$X$29/Ensaios!$X$28)&gt;0,($C$4+(Ensaios!$X$29/Ensaios!$X$28))*(EXP((-Ensaios!$X$28/$C$2)*(IF(F39-($F$12+($B$8/120))&lt;0,0,F39-($F$12+($B$8/120))))))-(Ensaios!$X$29/Ensaios!$X$28),0)</f>
        <v>798.28382292208516</v>
      </c>
      <c r="H39" s="20">
        <f t="shared" si="3"/>
        <v>7623.0489845007078</v>
      </c>
      <c r="I39" s="20">
        <f t="shared" si="1"/>
        <v>0.86666666666666692</v>
      </c>
    </row>
    <row r="40" spans="5:9" x14ac:dyDescent="0.25">
      <c r="E40" s="20">
        <v>36</v>
      </c>
      <c r="F40" s="20">
        <f t="shared" si="2"/>
        <v>1.2000000000000004</v>
      </c>
      <c r="G40" s="20">
        <f>IF(($C$4+(Ensaios!$X$29/Ensaios!$X$28))*(EXP((-Ensaios!$X$28/$C$2)*(IF(F40-($F$12+($B$8/120))&lt;0,0,F40-($F$12+($B$8/120))))))-(Ensaios!$X$29/Ensaios!$X$28)&gt;0,($C$4+(Ensaios!$X$29/Ensaios!$X$28))*(EXP((-Ensaios!$X$28/$C$2)*(IF(F40-($F$12+($B$8/120))&lt;0,0,F40-($F$12+($B$8/120))))))-(Ensaios!$X$29/Ensaios!$X$28),0)</f>
        <v>782.27137826185526</v>
      </c>
      <c r="H40" s="20">
        <f t="shared" si="3"/>
        <v>7470.1414013810463</v>
      </c>
      <c r="I40" s="20">
        <f t="shared" si="1"/>
        <v>0.90000000000000036</v>
      </c>
    </row>
    <row r="41" spans="5:9" x14ac:dyDescent="0.25">
      <c r="E41" s="20">
        <v>37</v>
      </c>
      <c r="F41" s="20">
        <f t="shared" si="2"/>
        <v>1.2333333333333338</v>
      </c>
      <c r="G41" s="20">
        <f>IF(($C$4+(Ensaios!$X$29/Ensaios!$X$28))*(EXP((-Ensaios!$X$28/$C$2)*(IF(F41-($F$12+($B$8/120))&lt;0,0,F41-($F$12+($B$8/120))))))-(Ensaios!$X$29/Ensaios!$X$28)&gt;0,($C$4+(Ensaios!$X$29/Ensaios!$X$28))*(EXP((-Ensaios!$X$28/$C$2)*(IF(F41-($F$12+($B$8/120))&lt;0,0,F41-($F$12+($B$8/120))))))-(Ensaios!$X$29/Ensaios!$X$28),0)</f>
        <v>766.37097225279285</v>
      </c>
      <c r="H41" s="20">
        <f t="shared" si="3"/>
        <v>7318.3037085704254</v>
      </c>
      <c r="I41" s="20">
        <f t="shared" si="1"/>
        <v>0.93333333333333379</v>
      </c>
    </row>
    <row r="42" spans="5:9" x14ac:dyDescent="0.25">
      <c r="E42" s="20">
        <v>38</v>
      </c>
      <c r="F42" s="20">
        <f t="shared" si="2"/>
        <v>1.2666666666666673</v>
      </c>
      <c r="G42" s="20">
        <f>IF(($C$4+(Ensaios!$X$29/Ensaios!$X$28))*(EXP((-Ensaios!$X$28/$C$2)*(IF(F42-($F$12+($B$8/120))&lt;0,0,F42-($F$12+($B$8/120))))))-(Ensaios!$X$29/Ensaios!$X$28)&gt;0,($C$4+(Ensaios!$X$29/Ensaios!$X$28))*(EXP((-Ensaios!$X$28/$C$2)*(IF(F42-($F$12+($B$8/120))&lt;0,0,F42-($F$12+($B$8/120))))))-(Ensaios!$X$29/Ensaios!$X$28),0)</f>
        <v>750.58182096342489</v>
      </c>
      <c r="H42" s="20">
        <f t="shared" si="3"/>
        <v>7167.5284200747037</v>
      </c>
      <c r="I42" s="20">
        <f t="shared" si="1"/>
        <v>0.96666666666666723</v>
      </c>
    </row>
    <row r="43" spans="5:9" x14ac:dyDescent="0.25">
      <c r="E43" s="20">
        <v>39</v>
      </c>
      <c r="F43" s="20">
        <f t="shared" si="2"/>
        <v>1.3000000000000007</v>
      </c>
      <c r="G43" s="20">
        <f>IF(($C$4+(Ensaios!$X$29/Ensaios!$X$28))*(EXP((-Ensaios!$X$28/$C$2)*(IF(F43-($F$12+($B$8/120))&lt;0,0,F43-($F$12+($B$8/120))))))-(Ensaios!$X$29/Ensaios!$X$28)&gt;0,($C$4+(Ensaios!$X$29/Ensaios!$X$28))*(EXP((-Ensaios!$X$28/$C$2)*(IF(F43-($F$12+($B$8/120))&lt;0,0,F43-($F$12+($B$8/120))))))-(Ensaios!$X$29/Ensaios!$X$28),0)</f>
        <v>734.90314594742313</v>
      </c>
      <c r="H43" s="20">
        <f t="shared" si="3"/>
        <v>7017.8081022790193</v>
      </c>
      <c r="I43" s="20">
        <f t="shared" si="1"/>
        <v>1.0000000000000007</v>
      </c>
    </row>
    <row r="44" spans="5:9" x14ac:dyDescent="0.25">
      <c r="E44" s="20">
        <v>40</v>
      </c>
      <c r="F44" s="20">
        <f t="shared" si="2"/>
        <v>1.3333333333333341</v>
      </c>
      <c r="G44" s="20">
        <f>IF(($C$4+(Ensaios!$X$29/Ensaios!$X$28))*(EXP((-Ensaios!$X$28/$C$2)*(IF(F44-($F$12+($B$8/120))&lt;0,0,F44-($F$12+($B$8/120))))))-(Ensaios!$X$29/Ensaios!$X$28)&gt;0,($C$4+(Ensaios!$X$29/Ensaios!$X$28))*(EXP((-Ensaios!$X$28/$C$2)*(IF(F44-($F$12+($B$8/120))&lt;0,0,F44-($F$12+($B$8/120))))))-(Ensaios!$X$29/Ensaios!$X$28),0)</f>
        <v>719.33417420522937</v>
      </c>
      <c r="H44" s="20">
        <f t="shared" si="3"/>
        <v>6869.1353735813291</v>
      </c>
      <c r="I44" s="20">
        <f t="shared" si="1"/>
        <v>1.0333333333333341</v>
      </c>
    </row>
    <row r="45" spans="5:9" x14ac:dyDescent="0.25">
      <c r="E45" s="20">
        <v>41</v>
      </c>
      <c r="F45" s="20">
        <f t="shared" si="2"/>
        <v>1.3666666666666676</v>
      </c>
      <c r="G45" s="20">
        <f>IF(($C$4+(Ensaios!$X$29/Ensaios!$X$28))*(EXP((-Ensaios!$X$28/$C$2)*(IF(F45-($F$12+($B$8/120))&lt;0,0,F45-($F$12+($B$8/120))))))-(Ensaios!$X$29/Ensaios!$X$28)&gt;0,($C$4+(Ensaios!$X$29/Ensaios!$X$28))*(EXP((-Ensaios!$X$28/$C$2)*(IF(F45-($F$12+($B$8/120))&lt;0,0,F45-($F$12+($B$8/120))))))-(Ensaios!$X$29/Ensaios!$X$28),0)</f>
        <v>703.87413814594311</v>
      </c>
      <c r="H45" s="20">
        <f t="shared" si="3"/>
        <v>6721.5029040284671</v>
      </c>
      <c r="I45" s="20">
        <f t="shared" si="1"/>
        <v>1.0666666666666675</v>
      </c>
    </row>
    <row r="46" spans="5:9" x14ac:dyDescent="0.25">
      <c r="E46" s="20">
        <v>42</v>
      </c>
      <c r="F46" s="20">
        <f t="shared" si="2"/>
        <v>1.400000000000001</v>
      </c>
      <c r="G46" s="20">
        <f>IF(($C$4+(Ensaios!$X$29/Ensaios!$X$28))*(EXP((-Ensaios!$X$28/$C$2)*(IF(F46-($F$12+($B$8/120))&lt;0,0,F46-($F$12+($B$8/120))))))-(Ensaios!$X$29/Ensaios!$X$28)&gt;0,($C$4+(Ensaios!$X$29/Ensaios!$X$28))*(EXP((-Ensaios!$X$28/$C$2)*(IF(F46-($F$12+($B$8/120))&lt;0,0,F46-($F$12+($B$8/120))))))-(Ensaios!$X$29/Ensaios!$X$28),0)</f>
        <v>688.52227554947558</v>
      </c>
      <c r="H46" s="20">
        <f t="shared" si="3"/>
        <v>6574.9034149547442</v>
      </c>
      <c r="I46" s="20">
        <f t="shared" si="1"/>
        <v>1.100000000000001</v>
      </c>
    </row>
    <row r="47" spans="5:9" x14ac:dyDescent="0.25">
      <c r="E47" s="20">
        <v>43</v>
      </c>
      <c r="F47" s="20">
        <f t="shared" si="2"/>
        <v>1.4333333333333345</v>
      </c>
      <c r="G47" s="20">
        <f>IF(($C$4+(Ensaios!$X$29/Ensaios!$X$28))*(EXP((-Ensaios!$X$28/$C$2)*(IF(F47-($F$12+($B$8/120))&lt;0,0,F47-($F$12+($B$8/120))))))-(Ensaios!$X$29/Ensaios!$X$28)&gt;0,($C$4+(Ensaios!$X$29/Ensaios!$X$28))*(EXP((-Ensaios!$X$28/$C$2)*(IF(F47-($F$12+($B$8/120))&lt;0,0,F47-($F$12+($B$8/120))))))-(Ensaios!$X$29/Ensaios!$X$28),0)</f>
        <v>673.27782952897314</v>
      </c>
      <c r="H47" s="20">
        <f t="shared" si="3"/>
        <v>6429.3296786231122</v>
      </c>
      <c r="I47" s="20">
        <f t="shared" si="1"/>
        <v>1.1333333333333344</v>
      </c>
    </row>
    <row r="48" spans="5:9" x14ac:dyDescent="0.25">
      <c r="E48" s="20">
        <v>44</v>
      </c>
      <c r="F48" s="20">
        <f t="shared" si="2"/>
        <v>1.4666666666666679</v>
      </c>
      <c r="G48" s="20">
        <f>IF(($C$4+(Ensaios!$X$29/Ensaios!$X$28))*(EXP((-Ensaios!$X$28/$C$2)*(IF(F48-($F$12+($B$8/120))&lt;0,0,F48-($F$12+($B$8/120))))))-(Ensaios!$X$29/Ensaios!$X$28)&gt;0,($C$4+(Ensaios!$X$29/Ensaios!$X$28))*(EXP((-Ensaios!$X$28/$C$2)*(IF(F48-($F$12+($B$8/120))&lt;0,0,F48-($F$12+($B$8/120))))))-(Ensaios!$X$29/Ensaios!$X$28),0)</f>
        <v>658.1400484934984</v>
      </c>
      <c r="H48" s="20">
        <f t="shared" si="3"/>
        <v>6284.7745178687983</v>
      </c>
      <c r="I48" s="20">
        <f t="shared" si="1"/>
        <v>1.1666666666666679</v>
      </c>
    </row>
    <row r="49" spans="5:9" x14ac:dyDescent="0.25">
      <c r="E49" s="20">
        <v>45</v>
      </c>
      <c r="F49" s="20">
        <f t="shared" si="2"/>
        <v>1.5000000000000013</v>
      </c>
      <c r="G49" s="20">
        <f>IF(($C$4+(Ensaios!$X$29/Ensaios!$X$28))*(EXP((-Ensaios!$X$28/$C$2)*(IF(F49-($F$12+($B$8/120))&lt;0,0,F49-($F$12+($B$8/120))))))-(Ensaios!$X$29/Ensaios!$X$28)&gt;0,($C$4+(Ensaios!$X$29/Ensaios!$X$28))*(EXP((-Ensaios!$X$28/$C$2)*(IF(F49-($F$12+($B$8/120))&lt;0,0,F49-($F$12+($B$8/120))))))-(Ensaios!$X$29/Ensaios!$X$28),0)</f>
        <v>643.10818611097693</v>
      </c>
      <c r="H49" s="20">
        <f t="shared" si="3"/>
        <v>6141.2308057454738</v>
      </c>
      <c r="I49" s="20">
        <f t="shared" si="1"/>
        <v>1.2000000000000013</v>
      </c>
    </row>
    <row r="50" spans="5:9" x14ac:dyDescent="0.25">
      <c r="E50" s="20">
        <v>46</v>
      </c>
      <c r="F50" s="20">
        <f t="shared" si="2"/>
        <v>1.5333333333333348</v>
      </c>
      <c r="G50" s="20">
        <f>IF(($C$4+(Ensaios!$X$29/Ensaios!$X$28))*(EXP((-Ensaios!$X$28/$C$2)*(IF(F50-($F$12+($B$8/120))&lt;0,0,F50-($F$12+($B$8/120))))))-(Ensaios!$X$29/Ensaios!$X$28)&gt;0,($C$4+(Ensaios!$X$29/Ensaios!$X$28))*(EXP((-Ensaios!$X$28/$C$2)*(IF(F50-($F$12+($B$8/120))&lt;0,0,F50-($F$12+($B$8/120))))))-(Ensaios!$X$29/Ensaios!$X$28),0)</f>
        <v>628.18150127139916</v>
      </c>
      <c r="H50" s="20">
        <f t="shared" si="3"/>
        <v>5998.6914651738543</v>
      </c>
      <c r="I50" s="20">
        <f t="shared" si="1"/>
        <v>1.2333333333333347</v>
      </c>
    </row>
    <row r="51" spans="5:9" x14ac:dyDescent="0.25">
      <c r="E51" s="20">
        <v>47</v>
      </c>
      <c r="F51" s="20">
        <f t="shared" si="2"/>
        <v>1.5666666666666682</v>
      </c>
      <c r="G51" s="20">
        <f>IF(($C$4+(Ensaios!$X$29/Ensaios!$X$28))*(EXP((-Ensaios!$X$28/$C$2)*(IF(F51-($F$12+($B$8/120))&lt;0,0,F51-($F$12+($B$8/120))))))-(Ensaios!$X$29/Ensaios!$X$28)&gt;0,($C$4+(Ensaios!$X$29/Ensaios!$X$28))*(EXP((-Ensaios!$X$28/$C$2)*(IF(F51-($F$12+($B$8/120))&lt;0,0,F51-($F$12+($B$8/120))))))-(Ensaios!$X$29/Ensaios!$X$28),0)</f>
        <v>613.35925805028319</v>
      </c>
      <c r="H51" s="20">
        <f t="shared" si="3"/>
        <v>5857.1494685927983</v>
      </c>
      <c r="I51" s="20">
        <f t="shared" si="1"/>
        <v>1.2666666666666682</v>
      </c>
    </row>
    <row r="52" spans="5:9" x14ac:dyDescent="0.25">
      <c r="E52" s="20">
        <v>48</v>
      </c>
      <c r="F52" s="20">
        <f t="shared" si="2"/>
        <v>1.6000000000000016</v>
      </c>
      <c r="G52" s="20">
        <f>IF(($C$4+(Ensaios!$X$29/Ensaios!$X$28))*(EXP((-Ensaios!$X$28/$C$2)*(IF(F52-($F$12+($B$8/120))&lt;0,0,F52-($F$12+($B$8/120))))))-(Ensaios!$X$29/Ensaios!$X$28)&gt;0,($C$4+(Ensaios!$X$29/Ensaios!$X$28))*(EXP((-Ensaios!$X$28/$C$2)*(IF(F52-($F$12+($B$8/120))&lt;0,0,F52-($F$12+($B$8/120))))))-(Ensaios!$X$29/Ensaios!$X$28),0)</f>
        <v>598.64072567239009</v>
      </c>
      <c r="H52" s="20">
        <f t="shared" si="3"/>
        <v>5716.5978376128105</v>
      </c>
      <c r="I52" s="20">
        <f t="shared" si="1"/>
        <v>1.3000000000000016</v>
      </c>
    </row>
    <row r="53" spans="5:9" x14ac:dyDescent="0.25">
      <c r="E53" s="20">
        <v>49</v>
      </c>
      <c r="F53" s="20">
        <f t="shared" si="2"/>
        <v>1.6333333333333351</v>
      </c>
      <c r="G53" s="20">
        <f>IF(($C$4+(Ensaios!$X$29/Ensaios!$X$28))*(EXP((-Ensaios!$X$28/$C$2)*(IF(F53-($F$12+($B$8/120))&lt;0,0,F53-($F$12+($B$8/120))))))-(Ensaios!$X$29/Ensaios!$X$28)&gt;0,($C$4+(Ensaios!$X$29/Ensaios!$X$28))*(EXP((-Ensaios!$X$28/$C$2)*(IF(F53-($F$12+($B$8/120))&lt;0,0,F53-($F$12+($B$8/120))))))-(Ensaios!$X$29/Ensaios!$X$28),0)</f>
        <v>584.02517847569743</v>
      </c>
      <c r="H53" s="20">
        <f t="shared" si="3"/>
        <v>5577.0296426720179</v>
      </c>
      <c r="I53" s="20">
        <f t="shared" si="1"/>
        <v>1.333333333333335</v>
      </c>
    </row>
    <row r="54" spans="5:9" x14ac:dyDescent="0.25">
      <c r="E54" s="20">
        <v>50</v>
      </c>
      <c r="F54" s="20">
        <f t="shared" si="2"/>
        <v>1.6666666666666685</v>
      </c>
      <c r="G54" s="20">
        <f>IF(($C$4+(Ensaios!$X$29/Ensaios!$X$28))*(EXP((-Ensaios!$X$28/$C$2)*(IF(F54-($F$12+($B$8/120))&lt;0,0,F54-($F$12+($B$8/120))))))-(Ensaios!$X$29/Ensaios!$X$28)&gt;0,($C$4+(Ensaios!$X$29/Ensaios!$X$28))*(EXP((-Ensaios!$X$28/$C$2)*(IF(F54-($F$12+($B$8/120))&lt;0,0,F54-($F$12+($B$8/120))))))-(Ensaios!$X$29/Ensaios!$X$28),0)</f>
        <v>569.51189587562067</v>
      </c>
      <c r="H54" s="20">
        <f t="shared" si="3"/>
        <v>5438.43800269451</v>
      </c>
      <c r="I54" s="20">
        <f t="shared" si="1"/>
        <v>1.3666666666666685</v>
      </c>
    </row>
    <row r="55" spans="5:9" x14ac:dyDescent="0.25">
      <c r="E55" s="20">
        <v>51</v>
      </c>
      <c r="F55" s="20">
        <f t="shared" si="2"/>
        <v>1.700000000000002</v>
      </c>
      <c r="G55" s="20">
        <f>IF(($C$4+(Ensaios!$X$29/Ensaios!$X$28))*(EXP((-Ensaios!$X$28/$C$2)*(IF(F55-($F$12+($B$8/120))&lt;0,0,F55-($F$12+($B$8/120))))))-(Ensaios!$X$29/Ensaios!$X$28)&gt;0,($C$4+(Ensaios!$X$29/Ensaios!$X$28))*(EXP((-Ensaios!$X$28/$C$2)*(IF(F55-($F$12+($B$8/120))&lt;0,0,F55-($F$12+($B$8/120))))))-(Ensaios!$X$29/Ensaios!$X$28),0)</f>
        <v>555.1001623294851</v>
      </c>
      <c r="H55" s="20">
        <f t="shared" si="3"/>
        <v>5300.8160847510644</v>
      </c>
      <c r="I55" s="20">
        <f t="shared" si="1"/>
        <v>1.4000000000000019</v>
      </c>
    </row>
    <row r="56" spans="5:9" x14ac:dyDescent="0.25">
      <c r="E56" s="20">
        <v>52</v>
      </c>
      <c r="F56" s="20">
        <f t="shared" si="2"/>
        <v>1.7333333333333354</v>
      </c>
      <c r="G56" s="20">
        <f>IF(($C$4+(Ensaios!$X$29/Ensaios!$X$28))*(EXP((-Ensaios!$X$28/$C$2)*(IF(F56-($F$12+($B$8/120))&lt;0,0,F56-($F$12+($B$8/120))))))-(Ensaios!$X$29/Ensaios!$X$28)&gt;0,($C$4+(Ensaios!$X$29/Ensaios!$X$28))*(EXP((-Ensaios!$X$28/$C$2)*(IF(F56-($F$12+($B$8/120))&lt;0,0,F56-($F$12+($B$8/120))))))-(Ensaios!$X$29/Ensaios!$X$28),0)</f>
        <v>540.78926730125045</v>
      </c>
      <c r="H56" s="20">
        <f t="shared" si="3"/>
        <v>5164.1571037222975</v>
      </c>
      <c r="I56" s="20">
        <f t="shared" si="1"/>
        <v>1.4333333333333353</v>
      </c>
    </row>
    <row r="57" spans="5:9" x14ac:dyDescent="0.25">
      <c r="E57" s="20">
        <v>53</v>
      </c>
      <c r="F57" s="20">
        <f t="shared" si="2"/>
        <v>1.7666666666666688</v>
      </c>
      <c r="G57" s="20">
        <f>IF(($C$4+(Ensaios!$X$29/Ensaios!$X$28))*(EXP((-Ensaios!$X$28/$C$2)*(IF(F57-($F$12+($B$8/120))&lt;0,0,F57-($F$12+($B$8/120))))))-(Ensaios!$X$29/Ensaios!$X$28)&gt;0,($C$4+(Ensaios!$X$29/Ensaios!$X$28))*(EXP((-Ensaios!$X$28/$C$2)*(IF(F57-($F$12+($B$8/120))&lt;0,0,F57-($F$12+($B$8/120))))))-(Ensaios!$X$29/Ensaios!$X$28),0)</f>
        <v>526.57850522647777</v>
      </c>
      <c r="H57" s="20">
        <f t="shared" si="3"/>
        <v>5028.4543219641228</v>
      </c>
      <c r="I57" s="20">
        <f t="shared" si="1"/>
        <v>1.4666666666666688</v>
      </c>
    </row>
    <row r="58" spans="5:9" x14ac:dyDescent="0.25">
      <c r="E58" s="20">
        <v>54</v>
      </c>
      <c r="F58" s="20">
        <f t="shared" si="2"/>
        <v>1.8000000000000023</v>
      </c>
      <c r="G58" s="20">
        <f>IF(($C$4+(Ensaios!$X$29/Ensaios!$X$28))*(EXP((-Ensaios!$X$28/$C$2)*(IF(F58-($F$12+($B$8/120))&lt;0,0,F58-($F$12+($B$8/120))))))-(Ensaios!$X$29/Ensaios!$X$28)&gt;0,($C$4+(Ensaios!$X$29/Ensaios!$X$28))*(EXP((-Ensaios!$X$28/$C$2)*(IF(F58-($F$12+($B$8/120))&lt;0,0,F58-($F$12+($B$8/120))))))-(Ensaios!$X$29/Ensaios!$X$28),0)</f>
        <v>512.46717547754361</v>
      </c>
      <c r="H58" s="20">
        <f t="shared" si="3"/>
        <v>4893.7010489755676</v>
      </c>
      <c r="I58" s="20">
        <f t="shared" si="1"/>
        <v>1.5000000000000022</v>
      </c>
    </row>
    <row r="59" spans="5:9" x14ac:dyDescent="0.25">
      <c r="E59" s="20">
        <v>55</v>
      </c>
      <c r="F59" s="20">
        <f t="shared" si="2"/>
        <v>1.8333333333333357</v>
      </c>
      <c r="G59" s="20">
        <f>IF(($C$4+(Ensaios!$X$29/Ensaios!$X$28))*(EXP((-Ensaios!$X$28/$C$2)*(IF(F59-($F$12+($B$8/120))&lt;0,0,F59-($F$12+($B$8/120))))))-(Ensaios!$X$29/Ensaios!$X$28)&gt;0,($C$4+(Ensaios!$X$29/Ensaios!$X$28))*(EXP((-Ensaios!$X$28/$C$2)*(IF(F59-($F$12+($B$8/120))&lt;0,0,F59-($F$12+($B$8/120))))))-(Ensaios!$X$29/Ensaios!$X$28),0)</f>
        <v>498.45458232909823</v>
      </c>
      <c r="H59" s="20">
        <f t="shared" si="3"/>
        <v>4759.8906410689251</v>
      </c>
      <c r="I59" s="20">
        <f t="shared" si="1"/>
        <v>1.5333333333333357</v>
      </c>
    </row>
    <row r="60" spans="5:9" x14ac:dyDescent="0.25">
      <c r="E60" s="20">
        <v>56</v>
      </c>
      <c r="F60" s="20">
        <f t="shared" si="2"/>
        <v>1.8666666666666691</v>
      </c>
      <c r="G60" s="20">
        <f>IF(($C$4+(Ensaios!$X$29/Ensaios!$X$28))*(EXP((-Ensaios!$X$28/$C$2)*(IF(F60-($F$12+($B$8/120))&lt;0,0,F60-($F$12+($B$8/120))))))-(Ensaios!$X$29/Ensaios!$X$28)&gt;0,($C$4+(Ensaios!$X$29/Ensaios!$X$28))*(EXP((-Ensaios!$X$28/$C$2)*(IF(F60-($F$12+($B$8/120))&lt;0,0,F60-($F$12+($B$8/120))))))-(Ensaios!$X$29/Ensaios!$X$28),0)</f>
        <v>484.54003492376296</v>
      </c>
      <c r="H60" s="20">
        <f t="shared" si="3"/>
        <v>4627.0165010421888</v>
      </c>
      <c r="I60" s="20">
        <f t="shared" si="1"/>
        <v>1.5666666666666691</v>
      </c>
    </row>
    <row r="61" spans="5:9" x14ac:dyDescent="0.25">
      <c r="E61" s="20">
        <v>57</v>
      </c>
      <c r="F61" s="20">
        <f t="shared" si="2"/>
        <v>1.9000000000000026</v>
      </c>
      <c r="G61" s="20">
        <f>IF(($C$4+(Ensaios!$X$29/Ensaios!$X$28))*(EXP((-Ensaios!$X$28/$C$2)*(IF(F61-($F$12+($B$8/120))&lt;0,0,F61-($F$12+($B$8/120))))))-(Ensaios!$X$29/Ensaios!$X$28)&gt;0,($C$4+(Ensaios!$X$29/Ensaios!$X$28))*(EXP((-Ensaios!$X$28/$C$2)*(IF(F61-($F$12+($B$8/120))&lt;0,0,F61-($F$12+($B$8/120))))))-(Ensaios!$X$29/Ensaios!$X$28),0)</f>
        <v>470.72284723807002</v>
      </c>
      <c r="H61" s="20">
        <f t="shared" si="3"/>
        <v>4495.0720778537989</v>
      </c>
      <c r="I61" s="20">
        <f t="shared" si="1"/>
        <v>1.6000000000000025</v>
      </c>
    </row>
    <row r="62" spans="5:9" x14ac:dyDescent="0.25">
      <c r="E62" s="20">
        <v>58</v>
      </c>
      <c r="F62" s="20">
        <f t="shared" si="2"/>
        <v>1.933333333333336</v>
      </c>
      <c r="G62" s="20">
        <f>IF(($C$4+(Ensaios!$X$29/Ensaios!$X$28))*(EXP((-Ensaios!$X$28/$C$2)*(IF(F62-($F$12+($B$8/120))&lt;0,0,F62-($F$12+($B$8/120))))))-(Ensaios!$X$29/Ensaios!$X$28)&gt;0,($C$4+(Ensaios!$X$29/Ensaios!$X$28))*(EXP((-Ensaios!$X$28/$C$2)*(IF(F62-($F$12+($B$8/120))&lt;0,0,F62-($F$12+($B$8/120))))))-(Ensaios!$X$29/Ensaios!$X$28),0)</f>
        <v>457.00233804864001</v>
      </c>
      <c r="H62" s="20">
        <f t="shared" si="3"/>
        <v>4364.0508662996654</v>
      </c>
      <c r="I62" s="20">
        <f t="shared" si="1"/>
        <v>1.633333333333336</v>
      </c>
    </row>
    <row r="63" spans="5:9" x14ac:dyDescent="0.25">
      <c r="E63" s="20">
        <v>59</v>
      </c>
      <c r="F63" s="20">
        <f t="shared" si="2"/>
        <v>1.9666666666666694</v>
      </c>
      <c r="G63" s="20">
        <f>IF(($C$4+(Ensaios!$X$29/Ensaios!$X$28))*(EXP((-Ensaios!$X$28/$C$2)*(IF(F63-($F$12+($B$8/120))&lt;0,0,F63-($F$12+($B$8/120))))))-(Ensaios!$X$29/Ensaios!$X$28)&gt;0,($C$4+(Ensaios!$X$29/Ensaios!$X$28))*(EXP((-Ensaios!$X$28/$C$2)*(IF(F63-($F$12+($B$8/120))&lt;0,0,F63-($F$12+($B$8/120))))))-(Ensaios!$X$29/Ensaios!$X$28),0)</f>
        <v>443.37783089859545</v>
      </c>
      <c r="H63" s="20">
        <f t="shared" si="3"/>
        <v>4233.9464066924374</v>
      </c>
      <c r="I63" s="20">
        <f t="shared" si="1"/>
        <v>1.6666666666666694</v>
      </c>
    </row>
    <row r="64" spans="5:9" x14ac:dyDescent="0.25">
      <c r="E64" s="20">
        <v>60</v>
      </c>
      <c r="F64" s="20">
        <f t="shared" si="2"/>
        <v>2.0000000000000027</v>
      </c>
      <c r="G64" s="20">
        <f>IF(($C$4+(Ensaios!$X$29/Ensaios!$X$28))*(EXP((-Ensaios!$X$28/$C$2)*(IF(F64-($F$12+($B$8/120))&lt;0,0,F64-($F$12+($B$8/120))))))-(Ensaios!$X$29/Ensaios!$X$28)&gt;0,($C$4+(Ensaios!$X$29/Ensaios!$X$28))*(EXP((-Ensaios!$X$28/$C$2)*(IF(F64-($F$12+($B$8/120))&lt;0,0,F64-($F$12+($B$8/120))))))-(Ensaios!$X$29/Ensaios!$X$28),0)</f>
        <v>429.84865406420954</v>
      </c>
      <c r="H64" s="20">
        <f t="shared" si="3"/>
        <v>4104.7522845430249</v>
      </c>
      <c r="I64" s="20">
        <f t="shared" si="1"/>
        <v>1.7000000000000026</v>
      </c>
    </row>
    <row r="65" spans="5:9" x14ac:dyDescent="0.25">
      <c r="E65" s="20">
        <v>61</v>
      </c>
      <c r="F65" s="20">
        <f t="shared" si="2"/>
        <v>2.0333333333333359</v>
      </c>
      <c r="G65" s="20">
        <f>IF(($C$4+(Ensaios!$X$29/Ensaios!$X$28))*(EXP((-Ensaios!$X$28/$C$2)*(IF(F65-($F$12+($B$8/120))&lt;0,0,F65-($F$12+($B$8/120))))))-(Ensaios!$X$29/Ensaios!$X$28)&gt;0,($C$4+(Ensaios!$X$29/Ensaios!$X$28))*(EXP((-Ensaios!$X$28/$C$2)*(IF(F65-($F$12+($B$8/120))&lt;0,0,F65-($F$12+($B$8/120))))))-(Ensaios!$X$29/Ensaios!$X$28),0)</f>
        <v>416.41414052178811</v>
      </c>
      <c r="H65" s="20">
        <f t="shared" si="3"/>
        <v>3976.462130244342</v>
      </c>
      <c r="I65" s="20">
        <f t="shared" si="1"/>
        <v>1.7333333333333358</v>
      </c>
    </row>
    <row r="66" spans="5:9" x14ac:dyDescent="0.25">
      <c r="E66" s="20">
        <v>62</v>
      </c>
      <c r="F66" s="20">
        <f t="shared" si="2"/>
        <v>2.0666666666666691</v>
      </c>
      <c r="G66" s="20">
        <f>IF(($C$4+(Ensaios!$X$29/Ensaios!$X$28))*(EXP((-Ensaios!$X$28/$C$2)*(IF(F66-($F$12+($B$8/120))&lt;0,0,F66-($F$12+($B$8/120))))))-(Ensaios!$X$29/Ensaios!$X$28)&gt;0,($C$4+(Ensaios!$X$29/Ensaios!$X$28))*(EXP((-Ensaios!$X$28/$C$2)*(IF(F66-($F$12+($B$8/120))&lt;0,0,F66-($F$12+($B$8/120))))))-(Ensaios!$X$29/Ensaios!$X$28),0)</f>
        <v>403.07362791478522</v>
      </c>
      <c r="H66" s="20">
        <f t="shared" si="3"/>
        <v>3849.0696187572867</v>
      </c>
      <c r="I66" s="20">
        <f t="shared" si="1"/>
        <v>1.766666666666669</v>
      </c>
    </row>
    <row r="67" spans="5:9" x14ac:dyDescent="0.25">
      <c r="E67" s="20">
        <v>63</v>
      </c>
      <c r="F67" s="20">
        <f t="shared" si="2"/>
        <v>2.1000000000000023</v>
      </c>
      <c r="G67" s="20">
        <f>IF(($C$4+(Ensaios!$X$29/Ensaios!$X$28))*(EXP((-Ensaios!$X$28/$C$2)*(IF(F67-($F$12+($B$8/120))&lt;0,0,F67-($F$12+($B$8/120))))))-(Ensaios!$X$29/Ensaios!$X$28)&gt;0,($C$4+(Ensaios!$X$29/Ensaios!$X$28))*(EXP((-Ensaios!$X$28/$C$2)*(IF(F67-($F$12+($B$8/120))&lt;0,0,F67-($F$12+($B$8/120))))))-(Ensaios!$X$29/Ensaios!$X$28),0)</f>
        <v>389.82645852114524</v>
      </c>
      <c r="H67" s="20">
        <f t="shared" si="3"/>
        <v>3722.568469298878</v>
      </c>
      <c r="I67" s="20">
        <f t="shared" si="1"/>
        <v>1.8000000000000023</v>
      </c>
    </row>
    <row r="68" spans="5:9" x14ac:dyDescent="0.25">
      <c r="E68" s="20">
        <v>64</v>
      </c>
      <c r="F68" s="20">
        <f t="shared" si="2"/>
        <v>2.1333333333333355</v>
      </c>
      <c r="G68" s="20">
        <f>IF(($C$4+(Ensaios!$X$29/Ensaios!$X$28))*(EXP((-Ensaios!$X$28/$C$2)*(IF(F68-($F$12+($B$8/120))&lt;0,0,F68-($F$12+($B$8/120))))))-(Ensaios!$X$29/Ensaios!$X$28)&gt;0,($C$4+(Ensaios!$X$29/Ensaios!$X$28))*(EXP((-Ensaios!$X$28/$C$2)*(IF(F68-($F$12+($B$8/120))&lt;0,0,F68-($F$12+($B$8/120))))))-(Ensaios!$X$29/Ensaios!$X$28),0)</f>
        <v>376.67197922087666</v>
      </c>
      <c r="H68" s="20">
        <f t="shared" si="3"/>
        <v>3596.9524450326126</v>
      </c>
      <c r="I68" s="20">
        <f t="shared" si="1"/>
        <v>1.8333333333333355</v>
      </c>
    </row>
    <row r="69" spans="5:9" x14ac:dyDescent="0.25">
      <c r="E69" s="20">
        <v>65</v>
      </c>
      <c r="F69" s="20">
        <f t="shared" si="2"/>
        <v>2.1666666666666687</v>
      </c>
      <c r="G69" s="20">
        <f>IF(($C$4+(Ensaios!$X$29/Ensaios!$X$28))*(EXP((-Ensaios!$X$28/$C$2)*(IF(F69-($F$12+($B$8/120))&lt;0,0,F69-($F$12+($B$8/120))))))-(Ensaios!$X$29/Ensaios!$X$28)&gt;0,($C$4+(Ensaios!$X$29/Ensaios!$X$28))*(EXP((-Ensaios!$X$28/$C$2)*(IF(F69-($F$12+($B$8/120))&lt;0,0,F69-($F$12+($B$8/120))))))-(Ensaios!$X$29/Ensaios!$X$28),0)</f>
        <v>363.6095414638512</v>
      </c>
      <c r="H69" s="20">
        <f t="shared" si="3"/>
        <v>3472.2153527609639</v>
      </c>
      <c r="I69" s="20">
        <f t="shared" ref="I69:I124" si="4">IF(F69-($F$12+($B$8/120))&lt;0,0,F69-($F$12+($B$8/120)))</f>
        <v>1.8666666666666687</v>
      </c>
    </row>
    <row r="70" spans="5:9" x14ac:dyDescent="0.25">
      <c r="E70" s="20">
        <v>66</v>
      </c>
      <c r="F70" s="20">
        <f t="shared" ref="F70:F124" si="5">F69+($B$8/120)</f>
        <v>2.200000000000002</v>
      </c>
      <c r="G70" s="20">
        <f>IF(($C$4+(Ensaios!$X$29/Ensaios!$X$28))*(EXP((-Ensaios!$X$28/$C$2)*(IF(F70-($F$12+($B$8/120))&lt;0,0,F70-($F$12+($B$8/120))))))-(Ensaios!$X$29/Ensaios!$X$28)&gt;0,($C$4+(Ensaios!$X$29/Ensaios!$X$28))*(EXP((-Ensaios!$X$28/$C$2)*(IF(F70-($F$12+($B$8/120))&lt;0,0,F70-($F$12+($B$8/120))))))-(Ensaios!$X$29/Ensaios!$X$28),0)</f>
        <v>350.63850123782868</v>
      </c>
      <c r="H70" s="20">
        <f t="shared" si="3"/>
        <v>3348.351042620046</v>
      </c>
      <c r="I70" s="20">
        <f t="shared" si="4"/>
        <v>1.9000000000000019</v>
      </c>
    </row>
    <row r="71" spans="5:9" x14ac:dyDescent="0.25">
      <c r="E71" s="20">
        <v>67</v>
      </c>
      <c r="F71" s="20">
        <f t="shared" si="5"/>
        <v>2.2333333333333352</v>
      </c>
      <c r="G71" s="20">
        <f>IF(($C$4+(Ensaios!$X$29/Ensaios!$X$28))*(EXP((-Ensaios!$X$28/$C$2)*(IF(F71-($F$12+($B$8/120))&lt;0,0,F71-($F$12+($B$8/120))))))-(Ensaios!$X$29/Ensaios!$X$28)&gt;0,($C$4+(Ensaios!$X$29/Ensaios!$X$28))*(EXP((-Ensaios!$X$28/$C$2)*(IF(F71-($F$12+($B$8/120))&lt;0,0,F71-($F$12+($B$8/120))))))-(Ensaios!$X$29/Ensaios!$X$28),0)</f>
        <v>337.75821903670567</v>
      </c>
      <c r="H71" s="20">
        <f t="shared" si="3"/>
        <v>3225.3534077764089</v>
      </c>
      <c r="I71" s="20">
        <f t="shared" si="4"/>
        <v>1.9333333333333351</v>
      </c>
    </row>
    <row r="72" spans="5:9" x14ac:dyDescent="0.25">
      <c r="E72" s="20">
        <v>68</v>
      </c>
      <c r="F72" s="20">
        <f t="shared" si="5"/>
        <v>2.2666666666666684</v>
      </c>
      <c r="G72" s="20">
        <f>IF(($C$4+(Ensaios!$X$29/Ensaios!$X$28))*(EXP((-Ensaios!$X$28/$C$2)*(IF(F72-($F$12+($B$8/120))&lt;0,0,F72-($F$12+($B$8/120))))))-(Ensaios!$X$29/Ensaios!$X$28)&gt;0,($C$4+(Ensaios!$X$29/Ensaios!$X$28))*(EXP((-Ensaios!$X$28/$C$2)*(IF(F72-($F$12+($B$8/120))&lt;0,0,F72-($F$12+($B$8/120))))))-(Ensaios!$X$29/Ensaios!$X$28),0)</f>
        <v>324.96805982898582</v>
      </c>
      <c r="H72" s="20">
        <f t="shared" si="3"/>
        <v>3103.2163841259526</v>
      </c>
      <c r="I72" s="20">
        <f t="shared" si="4"/>
        <v>1.9666666666666683</v>
      </c>
    </row>
    <row r="73" spans="5:9" x14ac:dyDescent="0.25">
      <c r="E73" s="20">
        <v>69</v>
      </c>
      <c r="F73" s="20">
        <f t="shared" si="5"/>
        <v>2.3000000000000016</v>
      </c>
      <c r="G73" s="20">
        <f>IF(($C$4+(Ensaios!$X$29/Ensaios!$X$28))*(EXP((-Ensaios!$X$28/$C$2)*(IF(F73-($F$12+($B$8/120))&lt;0,0,F73-($F$12+($B$8/120))))))-(Ensaios!$X$29/Ensaios!$X$28)&gt;0,($C$4+(Ensaios!$X$29/Ensaios!$X$28))*(EXP((-Ensaios!$X$28/$C$2)*(IF(F73-($F$12+($B$8/120))&lt;0,0,F73-($F$12+($B$8/120))))))-(Ensaios!$X$29/Ensaios!$X$28),0)</f>
        <v>312.26739302647093</v>
      </c>
      <c r="H73" s="20">
        <f t="shared" si="3"/>
        <v>2981.9339499949497</v>
      </c>
      <c r="I73" s="20">
        <f t="shared" si="4"/>
        <v>2.0000000000000018</v>
      </c>
    </row>
    <row r="74" spans="5:9" x14ac:dyDescent="0.25">
      <c r="E74" s="20">
        <v>70</v>
      </c>
      <c r="F74" s="20">
        <f t="shared" si="5"/>
        <v>2.3333333333333348</v>
      </c>
      <c r="G74" s="20">
        <f>IF(($C$4+(Ensaios!$X$29/Ensaios!$X$28))*(EXP((-Ensaios!$X$28/$C$2)*(IF(F74-($F$12+($B$8/120))&lt;0,0,F74-($F$12+($B$8/120))))))-(Ensaios!$X$29/Ensaios!$X$28)&gt;0,($C$4+(Ensaios!$X$29/Ensaios!$X$28))*(EXP((-Ensaios!$X$28/$C$2)*(IF(F74-($F$12+($B$8/120))&lt;0,0,F74-($F$12+($B$8/120))))))-(Ensaios!$X$29/Ensaios!$X$28),0)</f>
        <v>299.6555924531724</v>
      </c>
      <c r="H74" s="20">
        <f t="shared" si="3"/>
        <v>2861.5001258431703</v>
      </c>
      <c r="I74" s="20">
        <f t="shared" si="4"/>
        <v>2.033333333333335</v>
      </c>
    </row>
    <row r="75" spans="5:9" x14ac:dyDescent="0.25">
      <c r="E75" s="20">
        <v>71</v>
      </c>
      <c r="F75" s="20">
        <f t="shared" si="5"/>
        <v>2.366666666666668</v>
      </c>
      <c r="G75" s="20">
        <f>IF(($C$4+(Ensaios!$X$29/Ensaios!$X$28))*(EXP((-Ensaios!$X$28/$C$2)*(IF(F75-($F$12+($B$8/120))&lt;0,0,F75-($F$12+($B$8/120))))))-(Ensaios!$X$29/Ensaios!$X$28)&gt;0,($C$4+(Ensaios!$X$29/Ensaios!$X$28))*(EXP((-Ensaios!$X$28/$C$2)*(IF(F75-($F$12+($B$8/120))&lt;0,0,F75-($F$12+($B$8/120))))))-(Ensaios!$X$29/Ensaios!$X$28),0)</f>
        <v>287.13203631443889</v>
      </c>
      <c r="H75" s="20">
        <f t="shared" si="3"/>
        <v>2741.908973969073</v>
      </c>
      <c r="I75" s="20">
        <f t="shared" si="4"/>
        <v>2.0666666666666682</v>
      </c>
    </row>
    <row r="76" spans="5:9" x14ac:dyDescent="0.25">
      <c r="E76" s="20">
        <v>72</v>
      </c>
      <c r="F76" s="20">
        <f t="shared" si="5"/>
        <v>2.4000000000000012</v>
      </c>
      <c r="G76" s="20">
        <f>IF(($C$4+(Ensaios!$X$29/Ensaios!$X$28))*(EXP((-Ensaios!$X$28/$C$2)*(IF(F76-($F$12+($B$8/120))&lt;0,0,F76-($F$12+($B$8/120))))))-(Ensaios!$X$29/Ensaios!$X$28)&gt;0,($C$4+(Ensaios!$X$29/Ensaios!$X$28))*(EXP((-Ensaios!$X$28/$C$2)*(IF(F76-($F$12+($B$8/120))&lt;0,0,F76-($F$12+($B$8/120))))))-(Ensaios!$X$29/Ensaios!$X$28),0)</f>
        <v>274.69610716629791</v>
      </c>
      <c r="H76" s="20">
        <f t="shared" si="3"/>
        <v>2623.1545982170396</v>
      </c>
      <c r="I76" s="20">
        <f t="shared" si="4"/>
        <v>2.1000000000000014</v>
      </c>
    </row>
    <row r="77" spans="5:9" x14ac:dyDescent="0.25">
      <c r="E77" s="20">
        <v>73</v>
      </c>
      <c r="F77" s="20">
        <f t="shared" si="5"/>
        <v>2.4333333333333345</v>
      </c>
      <c r="G77" s="20">
        <f>IF(($C$4+(Ensaios!$X$29/Ensaios!$X$28))*(EXP((-Ensaios!$X$28/$C$2)*(IF(F77-($F$12+($B$8/120))&lt;0,0,F77-($F$12+($B$8/120))))))-(Ensaios!$X$29/Ensaios!$X$28)&gt;0,($C$4+(Ensaios!$X$29/Ensaios!$X$28))*(EXP((-Ensaios!$X$28/$C$2)*(IF(F77-($F$12+($B$8/120))&lt;0,0,F77-($F$12+($B$8/120))))))-(Ensaios!$X$29/Ensaios!$X$28),0)</f>
        <v>262.34719188501799</v>
      </c>
      <c r="H77" s="20">
        <f t="shared" si="3"/>
        <v>2505.2311436867149</v>
      </c>
      <c r="I77" s="20">
        <f t="shared" si="4"/>
        <v>2.1333333333333346</v>
      </c>
    </row>
    <row r="78" spans="5:9" x14ac:dyDescent="0.25">
      <c r="E78" s="20">
        <v>74</v>
      </c>
      <c r="F78" s="20">
        <f t="shared" si="5"/>
        <v>2.4666666666666677</v>
      </c>
      <c r="G78" s="20">
        <f>IF(($C$4+(Ensaios!$X$29/Ensaios!$X$28))*(EXP((-Ensaios!$X$28/$C$2)*(IF(F78-($F$12+($B$8/120))&lt;0,0,F78-($F$12+($B$8/120))))))-(Ensaios!$X$29/Ensaios!$X$28)&gt;0,($C$4+(Ensaios!$X$29/Ensaios!$X$28))*(EXP((-Ensaios!$X$28/$C$2)*(IF(F78-($F$12+($B$8/120))&lt;0,0,F78-($F$12+($B$8/120))))))-(Ensaios!$X$29/Ensaios!$X$28),0)</f>
        <v>250.08468163687735</v>
      </c>
      <c r="H78" s="20">
        <f t="shared" si="3"/>
        <v>2388.1327964443185</v>
      </c>
      <c r="I78" s="20">
        <f t="shared" si="4"/>
        <v>2.1666666666666679</v>
      </c>
    </row>
    <row r="79" spans="5:9" x14ac:dyDescent="0.25">
      <c r="E79" s="20">
        <v>75</v>
      </c>
      <c r="F79" s="20">
        <f t="shared" si="5"/>
        <v>2.5000000000000009</v>
      </c>
      <c r="G79" s="20">
        <f>IF(($C$4+(Ensaios!$X$29/Ensaios!$X$28))*(EXP((-Ensaios!$X$28/$C$2)*(IF(F79-($F$12+($B$8/120))&lt;0,0,F79-($F$12+($B$8/120))))))-(Ensaios!$X$29/Ensaios!$X$28)&gt;0,($C$4+(Ensaios!$X$29/Ensaios!$X$28))*(EXP((-Ensaios!$X$28/$C$2)*(IF(F79-($F$12+($B$8/120))&lt;0,0,F79-($F$12+($B$8/120))))))-(Ensaios!$X$29/Ensaios!$X$28),0)</f>
        <v>237.90797184814755</v>
      </c>
      <c r="H79" s="20">
        <f t="shared" ref="H79:H113" si="6">(G79*60)/(2*PI())</f>
        <v>2271.8537832360098</v>
      </c>
      <c r="I79" s="20">
        <f t="shared" si="4"/>
        <v>2.2000000000000011</v>
      </c>
    </row>
    <row r="80" spans="5:9" x14ac:dyDescent="0.25">
      <c r="E80" s="20">
        <v>76</v>
      </c>
      <c r="F80" s="20">
        <f t="shared" si="5"/>
        <v>2.5333333333333341</v>
      </c>
      <c r="G80" s="20">
        <f>IF(($C$4+(Ensaios!$X$29/Ensaios!$X$28))*(EXP((-Ensaios!$X$28/$C$2)*(IF(F80-($F$12+($B$8/120))&lt;0,0,F80-($F$12+($B$8/120))))))-(Ensaios!$X$29/Ensaios!$X$28)&gt;0,($C$4+(Ensaios!$X$29/Ensaios!$X$28))*(EXP((-Ensaios!$X$28/$C$2)*(IF(F80-($F$12+($B$8/120))&lt;0,0,F80-($F$12+($B$8/120))))))-(Ensaios!$X$29/Ensaios!$X$28),0)</f>
        <v>225.81646217528669</v>
      </c>
      <c r="H80" s="20">
        <f t="shared" si="6"/>
        <v>2156.3883712032534</v>
      </c>
      <c r="I80" s="20">
        <f t="shared" si="4"/>
        <v>2.2333333333333343</v>
      </c>
    </row>
    <row r="81" spans="5:9" x14ac:dyDescent="0.25">
      <c r="E81" s="20">
        <v>77</v>
      </c>
      <c r="F81" s="20">
        <f t="shared" si="5"/>
        <v>2.5666666666666673</v>
      </c>
      <c r="G81" s="20">
        <f>IF(($C$4+(Ensaios!$X$29/Ensaios!$X$28))*(EXP((-Ensaios!$X$28/$C$2)*(IF(F81-($F$12+($B$8/120))&lt;0,0,F81-($F$12+($B$8/120))))))-(Ensaios!$X$29/Ensaios!$X$28)&gt;0,($C$4+(Ensaios!$X$29/Ensaios!$X$28))*(EXP((-Ensaios!$X$28/$C$2)*(IF(F81-($F$12+($B$8/120))&lt;0,0,F81-($F$12+($B$8/120))))))-(Ensaios!$X$29/Ensaios!$X$28),0)</f>
        <v>213.80955647534074</v>
      </c>
      <c r="H81" s="20">
        <f t="shared" si="6"/>
        <v>2041.7308676001744</v>
      </c>
      <c r="I81" s="20">
        <f t="shared" si="4"/>
        <v>2.2666666666666675</v>
      </c>
    </row>
    <row r="82" spans="5:9" x14ac:dyDescent="0.25">
      <c r="E82" s="20">
        <v>78</v>
      </c>
      <c r="F82" s="20">
        <f t="shared" si="5"/>
        <v>2.6000000000000005</v>
      </c>
      <c r="G82" s="20">
        <f>IF(($C$4+(Ensaios!$X$29/Ensaios!$X$28))*(EXP((-Ensaios!$X$28/$C$2)*(IF(F82-($F$12+($B$8/120))&lt;0,0,F82-($F$12+($B$8/120))))))-(Ensaios!$X$29/Ensaios!$X$28)&gt;0,($C$4+(Ensaios!$X$29/Ensaios!$X$28))*(EXP((-Ensaios!$X$28/$C$2)*(IF(F82-($F$12+($B$8/120))&lt;0,0,F82-($F$12+($B$8/120))))))-(Ensaios!$X$29/Ensaios!$X$28),0)</f>
        <v>201.88666277655193</v>
      </c>
      <c r="H82" s="20">
        <f t="shared" si="6"/>
        <v>1927.8756195128872</v>
      </c>
      <c r="I82" s="20">
        <f t="shared" si="4"/>
        <v>2.3000000000000007</v>
      </c>
    </row>
    <row r="83" spans="5:9" x14ac:dyDescent="0.25">
      <c r="E83" s="20">
        <v>79</v>
      </c>
      <c r="F83" s="20">
        <f t="shared" si="5"/>
        <v>2.6333333333333337</v>
      </c>
      <c r="G83" s="20">
        <f>IF(($C$4+(Ensaios!$X$29/Ensaios!$X$28))*(EXP((-Ensaios!$X$28/$C$2)*(IF(F83-($F$12+($B$8/120))&lt;0,0,F83-($F$12+($B$8/120))))))-(Ensaios!$X$29/Ensaios!$X$28)&gt;0,($C$4+(Ensaios!$X$29/Ensaios!$X$28))*(EXP((-Ensaios!$X$28/$C$2)*(IF(F83-($F$12+($B$8/120))&lt;0,0,F83-($F$12+($B$8/120))))))-(Ensaios!$X$29/Ensaios!$X$28),0)</f>
        <v>190.04719324917392</v>
      </c>
      <c r="H83" s="20">
        <f t="shared" si="6"/>
        <v>1814.8170135808027</v>
      </c>
      <c r="I83" s="20">
        <f t="shared" si="4"/>
        <v>2.3333333333333339</v>
      </c>
    </row>
    <row r="84" spans="5:9" x14ac:dyDescent="0.25">
      <c r="E84" s="20">
        <v>80</v>
      </c>
      <c r="F84" s="20">
        <f t="shared" si="5"/>
        <v>2.666666666666667</v>
      </c>
      <c r="G84" s="20">
        <f>IF(($C$4+(Ensaios!$X$29/Ensaios!$X$28))*(EXP((-Ensaios!$X$28/$C$2)*(IF(F84-($F$12+($B$8/120))&lt;0,0,F84-($F$12+($B$8/120))))))-(Ensaios!$X$29/Ensaios!$X$28)&gt;0,($C$4+(Ensaios!$X$29/Ensaios!$X$28))*(EXP((-Ensaios!$X$28/$C$2)*(IF(F84-($F$12+($B$8/120))&lt;0,0,F84-($F$12+($B$8/120))))))-(Ensaios!$X$29/Ensaios!$X$28),0)</f>
        <v>178.29056417648826</v>
      </c>
      <c r="H84" s="20">
        <f t="shared" si="6"/>
        <v>1702.5494757198542</v>
      </c>
      <c r="I84" s="20">
        <f t="shared" si="4"/>
        <v>2.3666666666666671</v>
      </c>
    </row>
    <row r="85" spans="5:9" x14ac:dyDescent="0.25">
      <c r="E85" s="20">
        <v>81</v>
      </c>
      <c r="F85" s="20">
        <f t="shared" si="5"/>
        <v>2.7</v>
      </c>
      <c r="G85" s="20">
        <f>IF(($C$4+(Ensaios!$X$29/Ensaios!$X$28))*(EXP((-Ensaios!$X$28/$C$2)*(IF(F85-($F$12+($B$8/120))&lt;0,0,F85-($F$12+($B$8/120))))))-(Ensaios!$X$29/Ensaios!$X$28)&gt;0,($C$4+(Ensaios!$X$29/Ensaios!$X$28))*(EXP((-Ensaios!$X$28/$C$2)*(IF(F85-($F$12+($B$8/120))&lt;0,0,F85-($F$12+($B$8/120))))))-(Ensaios!$X$29/Ensaios!$X$28),0)</f>
        <v>166.61619592602824</v>
      </c>
      <c r="H85" s="20">
        <f t="shared" si="6"/>
        <v>1591.0674708477068</v>
      </c>
      <c r="I85" s="20">
        <f t="shared" si="4"/>
        <v>2.4000000000000004</v>
      </c>
    </row>
    <row r="86" spans="5:9" x14ac:dyDescent="0.25">
      <c r="E86" s="20">
        <v>82</v>
      </c>
      <c r="F86" s="20">
        <f t="shared" si="5"/>
        <v>2.7333333333333334</v>
      </c>
      <c r="G86" s="20">
        <f>IF(($C$4+(Ensaios!$X$29/Ensaios!$X$28))*(EXP((-Ensaios!$X$28/$C$2)*(IF(F86-($F$12+($B$8/120))&lt;0,0,F86-($F$12+($B$8/120))))))-(Ensaios!$X$29/Ensaios!$X$28)&gt;0,($C$4+(Ensaios!$X$29/Ensaios!$X$28))*(EXP((-Ensaios!$X$28/$C$2)*(IF(F86-($F$12+($B$8/120))&lt;0,0,F86-($F$12+($B$8/120))))))-(Ensaios!$X$29/Ensaios!$X$28),0)</f>
        <v>155.02351292099956</v>
      </c>
      <c r="H86" s="20">
        <f t="shared" si="6"/>
        <v>1480.3655026108434</v>
      </c>
      <c r="I86" s="20">
        <f t="shared" si="4"/>
        <v>2.4333333333333336</v>
      </c>
    </row>
    <row r="87" spans="5:9" x14ac:dyDescent="0.25">
      <c r="E87" s="20">
        <v>83</v>
      </c>
      <c r="F87" s="20">
        <f t="shared" si="5"/>
        <v>2.7666666666666666</v>
      </c>
      <c r="G87" s="20">
        <f>IF(($C$4+(Ensaios!$X$29/Ensaios!$X$28))*(EXP((-Ensaios!$X$28/$C$2)*(IF(F87-($F$12+($B$8/120))&lt;0,0,F87-($F$12+($B$8/120))))))-(Ensaios!$X$29/Ensaios!$X$28)&gt;0,($C$4+(Ensaios!$X$29/Ensaios!$X$28))*(EXP((-Ensaios!$X$28/$C$2)*(IF(F87-($F$12+($B$8/120))&lt;0,0,F87-($F$12+($B$8/120))))))-(Ensaios!$X$29/Ensaios!$X$28),0)</f>
        <v>143.51194361190323</v>
      </c>
      <c r="H87" s="20">
        <f t="shared" si="6"/>
        <v>1370.4381131135854</v>
      </c>
      <c r="I87" s="20">
        <f t="shared" si="4"/>
        <v>2.4666666666666668</v>
      </c>
    </row>
    <row r="88" spans="5:9" x14ac:dyDescent="0.25">
      <c r="E88" s="20">
        <v>84</v>
      </c>
      <c r="F88" s="20">
        <f t="shared" si="5"/>
        <v>2.8</v>
      </c>
      <c r="G88" s="20">
        <f>IF(($C$4+(Ensaios!$X$29/Ensaios!$X$28))*(EXP((-Ensaios!$X$28/$C$2)*(IF(F88-($F$12+($B$8/120))&lt;0,0,F88-($F$12+($B$8/120))))))-(Ensaios!$X$29/Ensaios!$X$28)&gt;0,($C$4+(Ensaios!$X$29/Ensaios!$X$28))*(EXP((-Ensaios!$X$28/$C$2)*(IF(F88-($F$12+($B$8/120))&lt;0,0,F88-($F$12+($B$8/120))))))-(Ensaios!$X$29/Ensaios!$X$28),0)</f>
        <v>132.08092044835689</v>
      </c>
      <c r="H88" s="20">
        <f t="shared" si="6"/>
        <v>1261.2798826490039</v>
      </c>
      <c r="I88" s="20">
        <f t="shared" si="4"/>
        <v>2.5</v>
      </c>
    </row>
    <row r="89" spans="5:9" x14ac:dyDescent="0.25">
      <c r="E89" s="20">
        <v>85</v>
      </c>
      <c r="F89" s="20">
        <f t="shared" si="5"/>
        <v>2.833333333333333</v>
      </c>
      <c r="G89" s="20">
        <f>IF(($C$4+(Ensaios!$X$29/Ensaios!$X$28))*(EXP((-Ensaios!$X$28/$C$2)*(IF(F89-($F$12+($B$8/120))&lt;0,0,F89-($F$12+($B$8/120))))))-(Ensaios!$X$29/Ensaios!$X$28)&gt;0,($C$4+(Ensaios!$X$29/Ensaios!$X$28))*(EXP((-Ensaios!$X$28/$C$2)*(IF(F89-($F$12+($B$8/120))&lt;0,0,F89-($F$12+($B$8/120))))))-(Ensaios!$X$29/Ensaios!$X$28),0)</f>
        <v>120.72987985111467</v>
      </c>
      <c r="H89" s="20">
        <f t="shared" si="6"/>
        <v>1152.8854294317312</v>
      </c>
      <c r="I89" s="20">
        <f t="shared" si="4"/>
        <v>2.5333333333333332</v>
      </c>
    </row>
    <row r="90" spans="5:9" x14ac:dyDescent="0.25">
      <c r="E90" s="20">
        <v>86</v>
      </c>
      <c r="F90" s="20">
        <f t="shared" si="5"/>
        <v>2.8666666666666663</v>
      </c>
      <c r="G90" s="20">
        <f>IF(($C$4+(Ensaios!$X$29/Ensaios!$X$28))*(EXP((-Ensaios!$X$28/$C$2)*(IF(F90-($F$12+($B$8/120))&lt;0,0,F90-($F$12+($B$8/120))))))-(Ensaios!$X$29/Ensaios!$X$28)&gt;0,($C$4+(Ensaios!$X$29/Ensaios!$X$28))*(EXP((-Ensaios!$X$28/$C$2)*(IF(F90-($F$12+($B$8/120))&lt;0,0,F90-($F$12+($B$8/120))))))-(Ensaios!$X$29/Ensaios!$X$28),0)</f>
        <v>109.4582621842776</v>
      </c>
      <c r="H90" s="20">
        <f t="shared" si="6"/>
        <v>1045.2494093325877</v>
      </c>
      <c r="I90" s="20">
        <f t="shared" si="4"/>
        <v>2.5666666666666664</v>
      </c>
    </row>
    <row r="91" spans="5:9" x14ac:dyDescent="0.25">
      <c r="E91" s="20">
        <v>87</v>
      </c>
      <c r="F91" s="20">
        <f t="shared" si="5"/>
        <v>2.8999999999999995</v>
      </c>
      <c r="G91" s="20">
        <f>IF(($C$4+(Ensaios!$X$29/Ensaios!$X$28))*(EXP((-Ensaios!$X$28/$C$2)*(IF(F91-($F$12+($B$8/120))&lt;0,0,F91-($F$12+($B$8/120))))))-(Ensaios!$X$29/Ensaios!$X$28)&gt;0,($C$4+(Ensaios!$X$29/Ensaios!$X$28))*(EXP((-Ensaios!$X$28/$C$2)*(IF(F91-($F$12+($B$8/120))&lt;0,0,F91-($F$12+($B$8/120))))))-(Ensaios!$X$29/Ensaios!$X$28),0)</f>
        <v>98.265511727705643</v>
      </c>
      <c r="H91" s="20">
        <f t="shared" si="6"/>
        <v>938.36651561513793</v>
      </c>
      <c r="I91" s="20">
        <f t="shared" si="4"/>
        <v>2.5999999999999996</v>
      </c>
    </row>
    <row r="92" spans="5:9" x14ac:dyDescent="0.25">
      <c r="E92" s="20">
        <v>88</v>
      </c>
      <c r="F92" s="20">
        <f t="shared" si="5"/>
        <v>2.9333333333333327</v>
      </c>
      <c r="G92" s="20">
        <f>IF(($C$4+(Ensaios!$X$29/Ensaios!$X$28))*(EXP((-Ensaios!$X$28/$C$2)*(IF(F92-($F$12+($B$8/120))&lt;0,0,F92-($F$12+($B$8/120))))))-(Ensaios!$X$29/Ensaios!$X$28)&gt;0,($C$4+(Ensaios!$X$29/Ensaios!$X$28))*(EXP((-Ensaios!$X$28/$C$2)*(IF(F92-($F$12+($B$8/120))&lt;0,0,F92-($F$12+($B$8/120))))))-(Ensaios!$X$29/Ensaios!$X$28),0)</f>
        <v>87.151076649617835</v>
      </c>
      <c r="H92" s="20">
        <f t="shared" si="6"/>
        <v>832.23147867404009</v>
      </c>
      <c r="I92" s="20">
        <f t="shared" si="4"/>
        <v>2.6333333333333329</v>
      </c>
    </row>
    <row r="93" spans="5:9" x14ac:dyDescent="0.25">
      <c r="E93" s="20">
        <v>89</v>
      </c>
      <c r="F93" s="20">
        <f t="shared" si="5"/>
        <v>2.9666666666666659</v>
      </c>
      <c r="G93" s="20">
        <f>IF(($C$4+(Ensaios!$X$29/Ensaios!$X$28))*(EXP((-Ensaios!$X$28/$C$2)*(IF(F93-($F$12+($B$8/120))&lt;0,0,F93-($F$12+($B$8/120))))))-(Ensaios!$X$29/Ensaios!$X$28)&gt;0,($C$4+(Ensaios!$X$29/Ensaios!$X$28))*(EXP((-Ensaios!$X$28/$C$2)*(IF(F93-($F$12+($B$8/120))&lt;0,0,F93-($F$12+($B$8/120))))))-(Ensaios!$X$29/Ensaios!$X$28),0)</f>
        <v>76.114408979384507</v>
      </c>
      <c r="H93" s="20">
        <f t="shared" si="6"/>
        <v>726.83906577523135</v>
      </c>
      <c r="I93" s="20">
        <f t="shared" si="4"/>
        <v>2.6666666666666661</v>
      </c>
    </row>
    <row r="94" spans="5:9" x14ac:dyDescent="0.25">
      <c r="E94" s="20">
        <v>90</v>
      </c>
      <c r="F94" s="20">
        <f t="shared" si="5"/>
        <v>2.9999999999999991</v>
      </c>
      <c r="G94" s="20">
        <f>IF(($C$4+(Ensaios!$X$29/Ensaios!$X$28))*(EXP((-Ensaios!$X$28/$C$2)*(IF(F94-($F$12+($B$8/120))&lt;0,0,F94-($F$12+($B$8/120))))))-(Ensaios!$X$29/Ensaios!$X$28)&gt;0,($C$4+(Ensaios!$X$29/Ensaios!$X$28))*(EXP((-Ensaios!$X$28/$C$2)*(IF(F94-($F$12+($B$8/120))&lt;0,0,F94-($F$12+($B$8/120))))))-(Ensaios!$X$29/Ensaios!$X$28),0)</f>
        <v>65.154964580513706</v>
      </c>
      <c r="H94" s="20">
        <f t="shared" si="6"/>
        <v>622.18408079796689</v>
      </c>
      <c r="I94" s="20">
        <f t="shared" si="4"/>
        <v>2.6999999999999993</v>
      </c>
    </row>
    <row r="95" spans="5:9" x14ac:dyDescent="0.25">
      <c r="E95" s="20">
        <v>91</v>
      </c>
      <c r="F95" s="20">
        <f t="shared" si="5"/>
        <v>3.0333333333333323</v>
      </c>
      <c r="G95" s="20">
        <f>IF(($C$4+(Ensaios!$X$29/Ensaios!$X$28))*(EXP((-Ensaios!$X$28/$C$2)*(IF(F95-($F$12+($B$8/120))&lt;0,0,F95-($F$12+($B$8/120))))))-(Ensaios!$X$29/Ensaios!$X$28)&gt;0,($C$4+(Ensaios!$X$29/Ensaios!$X$28))*(EXP((-Ensaios!$X$28/$C$2)*(IF(F95-($F$12+($B$8/120))&lt;0,0,F95-($F$12+($B$8/120))))))-(Ensaios!$X$29/Ensaios!$X$28),0)</f>
        <v>54.272203123819963</v>
      </c>
      <c r="H95" s="20">
        <f t="shared" si="6"/>
        <v>518.26136397860103</v>
      </c>
      <c r="I95" s="20">
        <f t="shared" si="4"/>
        <v>2.7333333333333325</v>
      </c>
    </row>
    <row r="96" spans="5:9" x14ac:dyDescent="0.25">
      <c r="E96" s="20">
        <v>92</v>
      </c>
      <c r="F96" s="20">
        <f t="shared" si="5"/>
        <v>3.0666666666666655</v>
      </c>
      <c r="G96" s="20">
        <f>IF(($C$4+(Ensaios!$X$29/Ensaios!$X$28))*(EXP((-Ensaios!$X$28/$C$2)*(IF(F96-($F$12+($B$8/120))&lt;0,0,F96-($F$12+($B$8/120))))))-(Ensaios!$X$29/Ensaios!$X$28)&gt;0,($C$4+(Ensaios!$X$29/Ensaios!$X$28))*(EXP((-Ensaios!$X$28/$C$2)*(IF(F96-($F$12+($B$8/120))&lt;0,0,F96-($F$12+($B$8/120))))))-(Ensaios!$X$29/Ensaios!$X$28),0)</f>
        <v>43.465588060789059</v>
      </c>
      <c r="H96" s="20">
        <f t="shared" si="6"/>
        <v>415.0657916562389</v>
      </c>
      <c r="I96" s="20">
        <f t="shared" si="4"/>
        <v>2.7666666666666657</v>
      </c>
    </row>
    <row r="97" spans="5:11" x14ac:dyDescent="0.25">
      <c r="E97" s="20">
        <v>93</v>
      </c>
      <c r="F97" s="20">
        <f t="shared" si="5"/>
        <v>3.0999999999999988</v>
      </c>
      <c r="G97" s="20">
        <f>IF(($C$4+(Ensaios!$X$29/Ensaios!$X$28))*(EXP((-Ensaios!$X$28/$C$2)*(IF(F97-($F$12+($B$8/120))&lt;0,0,F97-($F$12+($B$8/120))))))-(Ensaios!$X$29/Ensaios!$X$28)&gt;0,($C$4+(Ensaios!$X$29/Ensaios!$X$28))*(EXP((-Ensaios!$X$28/$C$2)*(IF(F97-($F$12+($B$8/120))&lt;0,0,F97-($F$12+($B$8/120))))))-(Ensaios!$X$29/Ensaios!$X$28),0)</f>
        <v>32.734586597120369</v>
      </c>
      <c r="H97" s="20">
        <f t="shared" si="6"/>
        <v>312.59227602008474</v>
      </c>
      <c r="I97" s="20">
        <f t="shared" si="4"/>
        <v>2.7999999999999989</v>
      </c>
    </row>
    <row r="98" spans="5:11" x14ac:dyDescent="0.25">
      <c r="E98" s="20">
        <v>94</v>
      </c>
      <c r="F98" s="20">
        <f t="shared" si="5"/>
        <v>3.133333333333332</v>
      </c>
      <c r="G98" s="20">
        <f>IF(($C$4+(Ensaios!$X$29/Ensaios!$X$28))*(EXP((-Ensaios!$X$28/$C$2)*(IF(F98-($F$12+($B$8/120))&lt;0,0,F98-($F$12+($B$8/120))))))-(Ensaios!$X$29/Ensaios!$X$28)&gt;0,($C$4+(Ensaios!$X$29/Ensaios!$X$28))*(EXP((-Ensaios!$X$28/$C$2)*(IF(F98-($F$12+($B$8/120))&lt;0,0,F98-($F$12+($B$8/120))))))-(Ensaios!$X$29/Ensaios!$X$28),0)</f>
        <v>22.078669666463156</v>
      </c>
      <c r="H98" s="20">
        <f t="shared" si="6"/>
        <v>210.83576485864197</v>
      </c>
      <c r="I98" s="20">
        <f t="shared" si="4"/>
        <v>2.8333333333333321</v>
      </c>
    </row>
    <row r="99" spans="5:11" x14ac:dyDescent="0.25">
      <c r="E99" s="20">
        <v>95</v>
      </c>
      <c r="F99" s="20">
        <f t="shared" si="5"/>
        <v>3.1666666666666652</v>
      </c>
      <c r="G99" s="20">
        <f>IF(($C$4+(Ensaios!$X$29/Ensaios!$X$28))*(EXP((-Ensaios!$X$28/$C$2)*(IF(F99-($F$12+($B$8/120))&lt;0,0,F99-($F$12+($B$8/120))))))-(Ensaios!$X$29/Ensaios!$X$28)&gt;0,($C$4+(Ensaios!$X$29/Ensaios!$X$28))*(EXP((-Ensaios!$X$28/$C$2)*(IF(F99-($F$12+($B$8/120))&lt;0,0,F99-($F$12+($B$8/120))))))-(Ensaios!$X$29/Ensaios!$X$28),0)</f>
        <v>11.497311904327489</v>
      </c>
      <c r="H99" s="20">
        <f t="shared" si="6"/>
        <v>109.79124131058074</v>
      </c>
      <c r="I99" s="20">
        <f t="shared" si="4"/>
        <v>2.8666666666666654</v>
      </c>
    </row>
    <row r="100" spans="5:11" x14ac:dyDescent="0.25">
      <c r="E100" s="20">
        <v>96</v>
      </c>
      <c r="F100" s="20">
        <f t="shared" si="5"/>
        <v>3.1999999999999984</v>
      </c>
      <c r="G100" s="20">
        <f>IF(($C$4+(Ensaios!$X$29/Ensaios!$X$28))*(EXP((-Ensaios!$X$28/$C$2)*(IF(F100-($F$12+($B$8/120))&lt;0,0,F100-($F$12+($B$8/120))))))-(Ensaios!$X$29/Ensaios!$X$28)&gt;0,($C$4+(Ensaios!$X$29/Ensaios!$X$28))*(EXP((-Ensaios!$X$28/$C$2)*(IF(F100-($F$12+($B$8/120))&lt;0,0,F100-($F$12+($B$8/120))))))-(Ensaios!$X$29/Ensaios!$X$28),0)</f>
        <v>0.98999162218660786</v>
      </c>
      <c r="H100" s="20">
        <f t="shared" si="6"/>
        <v>9.4537236174337629</v>
      </c>
      <c r="I100" s="20">
        <f t="shared" si="4"/>
        <v>2.8999999999999986</v>
      </c>
    </row>
    <row r="101" spans="5:11" x14ac:dyDescent="0.25">
      <c r="E101" s="20">
        <v>97</v>
      </c>
      <c r="F101" s="20">
        <f t="shared" si="5"/>
        <v>3.2333333333333316</v>
      </c>
      <c r="G101" s="20">
        <f>IF(($C$4+(Ensaios!$X$29/Ensaios!$X$28))*(EXP((-Ensaios!$X$28/$C$2)*(IF(F101-($F$12+($B$8/120))&lt;0,0,F101-($F$12+($B$8/120))))))-(Ensaios!$X$29/Ensaios!$X$28)&gt;0,($C$4+(Ensaios!$X$29/Ensaios!$X$28))*(EXP((-Ensaios!$X$28/$C$2)*(IF(F101-($F$12+($B$8/120))&lt;0,0,F101-($F$12+($B$8/120))))))-(Ensaios!$X$29/Ensaios!$X$28),0)</f>
        <v>0</v>
      </c>
      <c r="H101" s="20">
        <f t="shared" si="6"/>
        <v>0</v>
      </c>
      <c r="I101" s="20">
        <f t="shared" si="4"/>
        <v>2.9333333333333318</v>
      </c>
    </row>
    <row r="102" spans="5:11" x14ac:dyDescent="0.25">
      <c r="E102" s="20">
        <v>98</v>
      </c>
      <c r="F102" s="20">
        <f t="shared" si="5"/>
        <v>3.2666666666666648</v>
      </c>
      <c r="G102" s="20">
        <f>IF(($C$4+(Ensaios!$X$29/Ensaios!$X$28))*(EXP((-Ensaios!$X$28/$C$2)*(IF(F102-($F$12+($B$8/120))&lt;0,0,F102-($F$12+($B$8/120))))))-(Ensaios!$X$29/Ensaios!$X$28)&gt;0,($C$4+(Ensaios!$X$29/Ensaios!$X$28))*(EXP((-Ensaios!$X$28/$C$2)*(IF(F102-($F$12+($B$8/120))&lt;0,0,F102-($F$12+($B$8/120))))))-(Ensaios!$X$29/Ensaios!$X$28),0)</f>
        <v>0</v>
      </c>
      <c r="H102" s="20">
        <f t="shared" si="6"/>
        <v>0</v>
      </c>
      <c r="I102" s="20">
        <f t="shared" si="4"/>
        <v>2.966666666666665</v>
      </c>
    </row>
    <row r="103" spans="5:11" x14ac:dyDescent="0.25">
      <c r="E103" s="20">
        <v>99</v>
      </c>
      <c r="F103" s="20">
        <f t="shared" si="5"/>
        <v>3.299999999999998</v>
      </c>
      <c r="G103" s="20">
        <f>IF(($C$4+(Ensaios!$X$29/Ensaios!$X$28))*(EXP((-Ensaios!$X$28/$C$2)*(IF(F103-($F$12+($B$8/120))&lt;0,0,F103-($F$12+($B$8/120))))))-(Ensaios!$X$29/Ensaios!$X$28)&gt;0,($C$4+(Ensaios!$X$29/Ensaios!$X$28))*(EXP((-Ensaios!$X$28/$C$2)*(IF(F103-($F$12+($B$8/120))&lt;0,0,F103-($F$12+($B$8/120))))))-(Ensaios!$X$29/Ensaios!$X$28),0)</f>
        <v>0</v>
      </c>
      <c r="H103" s="20">
        <f t="shared" si="6"/>
        <v>0</v>
      </c>
      <c r="I103" s="20">
        <f t="shared" si="4"/>
        <v>2.9999999999999982</v>
      </c>
    </row>
    <row r="104" spans="5:11" x14ac:dyDescent="0.25">
      <c r="E104" s="20">
        <v>100</v>
      </c>
      <c r="F104" s="20">
        <f t="shared" si="5"/>
        <v>3.3333333333333313</v>
      </c>
      <c r="G104" s="20">
        <f>IF(($C$4+(Ensaios!$X$29/Ensaios!$X$28))*(EXP((-Ensaios!$X$28/$C$2)*(IF(F104-($F$12+($B$8/120))&lt;0,0,F104-($F$12+($B$8/120))))))-(Ensaios!$X$29/Ensaios!$X$28)&gt;0,($C$4+(Ensaios!$X$29/Ensaios!$X$28))*(EXP((-Ensaios!$X$28/$C$2)*(IF(F104-($F$12+($B$8/120))&lt;0,0,F104-($F$12+($B$8/120))))))-(Ensaios!$X$29/Ensaios!$X$28),0)</f>
        <v>0</v>
      </c>
      <c r="H104" s="20">
        <f t="shared" si="6"/>
        <v>0</v>
      </c>
      <c r="I104" s="20">
        <f t="shared" si="4"/>
        <v>3.0333333333333314</v>
      </c>
      <c r="J104" s="20">
        <v>2.1291096817767328E-5</v>
      </c>
      <c r="K104" s="20">
        <v>3.6904567817463402E-5</v>
      </c>
    </row>
    <row r="105" spans="5:11" x14ac:dyDescent="0.25">
      <c r="E105" s="20">
        <v>101</v>
      </c>
      <c r="F105" s="20">
        <f t="shared" si="5"/>
        <v>3.3666666666666645</v>
      </c>
      <c r="G105" s="20">
        <f>IF(($C$4+(Ensaios!$X$29/Ensaios!$X$28))*(EXP((-Ensaios!$X$28/$C$2)*(IF(F105-($F$12+($B$8/120))&lt;0,0,F105-($F$12+($B$8/120))))))-(Ensaios!$X$29/Ensaios!$X$28)&gt;0,($C$4+(Ensaios!$X$29/Ensaios!$X$28))*(EXP((-Ensaios!$X$28/$C$2)*(IF(F105-($F$12+($B$8/120))&lt;0,0,F105-($F$12+($B$8/120))))))-(Ensaios!$X$29/Ensaios!$X$28),0)</f>
        <v>0</v>
      </c>
      <c r="H105" s="20">
        <f t="shared" si="6"/>
        <v>0</v>
      </c>
      <c r="I105" s="20">
        <f t="shared" si="4"/>
        <v>3.0666666666666647</v>
      </c>
    </row>
    <row r="106" spans="5:11" x14ac:dyDescent="0.25">
      <c r="E106" s="20">
        <v>102</v>
      </c>
      <c r="F106" s="20">
        <f t="shared" si="5"/>
        <v>3.3999999999999977</v>
      </c>
      <c r="G106" s="20">
        <f>IF(($C$4+(Ensaios!$X$29/Ensaios!$X$28))*(EXP((-Ensaios!$X$28/$C$2)*(IF(F106-($F$12+($B$8/120))&lt;0,0,F106-($F$12+($B$8/120))))))-(Ensaios!$X$29/Ensaios!$X$28)&gt;0,($C$4+(Ensaios!$X$29/Ensaios!$X$28))*(EXP((-Ensaios!$X$28/$C$2)*(IF(F106-($F$12+($B$8/120))&lt;0,0,F106-($F$12+($B$8/120))))))-(Ensaios!$X$29/Ensaios!$X$28),0)</f>
        <v>0</v>
      </c>
      <c r="H106" s="20">
        <f t="shared" si="6"/>
        <v>0</v>
      </c>
      <c r="I106" s="20">
        <f t="shared" si="4"/>
        <v>3.0999999999999979</v>
      </c>
    </row>
    <row r="107" spans="5:11" x14ac:dyDescent="0.25">
      <c r="E107" s="20">
        <v>103</v>
      </c>
      <c r="F107" s="20">
        <f t="shared" si="5"/>
        <v>3.4333333333333309</v>
      </c>
      <c r="G107" s="20">
        <f>IF(($C$4+(Ensaios!$X$29/Ensaios!$X$28))*(EXP((-Ensaios!$X$28/$C$2)*(IF(F107-($F$12+($B$8/120))&lt;0,0,F107-($F$12+($B$8/120))))))-(Ensaios!$X$29/Ensaios!$X$28)&gt;0,($C$4+(Ensaios!$X$29/Ensaios!$X$28))*(EXP((-Ensaios!$X$28/$C$2)*(IF(F107-($F$12+($B$8/120))&lt;0,0,F107-($F$12+($B$8/120))))))-(Ensaios!$X$29/Ensaios!$X$28),0)</f>
        <v>0</v>
      </c>
      <c r="H107" s="20">
        <f t="shared" si="6"/>
        <v>0</v>
      </c>
      <c r="I107" s="20">
        <f t="shared" si="4"/>
        <v>3.1333333333333311</v>
      </c>
    </row>
    <row r="108" spans="5:11" x14ac:dyDescent="0.25">
      <c r="E108" s="20">
        <v>104</v>
      </c>
      <c r="F108" s="20">
        <f t="shared" si="5"/>
        <v>3.4666666666666641</v>
      </c>
      <c r="G108" s="20">
        <f>IF(($C$4+(Ensaios!$X$29/Ensaios!$X$28))*(EXP((-Ensaios!$X$28/$C$2)*(IF(F108-($F$12+($B$8/120))&lt;0,0,F108-($F$12+($B$8/120))))))-(Ensaios!$X$29/Ensaios!$X$28)&gt;0,($C$4+(Ensaios!$X$29/Ensaios!$X$28))*(EXP((-Ensaios!$X$28/$C$2)*(IF(F108-($F$12+($B$8/120))&lt;0,0,F108-($F$12+($B$8/120))))))-(Ensaios!$X$29/Ensaios!$X$28),0)</f>
        <v>0</v>
      </c>
      <c r="H108" s="20">
        <f t="shared" si="6"/>
        <v>0</v>
      </c>
      <c r="I108" s="20">
        <f t="shared" si="4"/>
        <v>3.1666666666666643</v>
      </c>
    </row>
    <row r="109" spans="5:11" x14ac:dyDescent="0.25">
      <c r="E109" s="20">
        <v>105</v>
      </c>
      <c r="F109" s="20">
        <f t="shared" si="5"/>
        <v>3.4999999999999973</v>
      </c>
      <c r="G109" s="20">
        <f>IF(($C$4+(Ensaios!$X$29/Ensaios!$X$28))*(EXP((-Ensaios!$X$28/$C$2)*(IF(F109-($F$12+($B$8/120))&lt;0,0,F109-($F$12+($B$8/120))))))-(Ensaios!$X$29/Ensaios!$X$28)&gt;0,($C$4+(Ensaios!$X$29/Ensaios!$X$28))*(EXP((-Ensaios!$X$28/$C$2)*(IF(F109-($F$12+($B$8/120))&lt;0,0,F109-($F$12+($B$8/120))))))-(Ensaios!$X$29/Ensaios!$X$28),0)</f>
        <v>0</v>
      </c>
      <c r="H109" s="20">
        <f t="shared" si="6"/>
        <v>0</v>
      </c>
      <c r="I109" s="20">
        <f t="shared" si="4"/>
        <v>3.1999999999999975</v>
      </c>
    </row>
    <row r="110" spans="5:11" x14ac:dyDescent="0.25">
      <c r="E110" s="20">
        <v>106</v>
      </c>
      <c r="F110" s="20">
        <f t="shared" si="5"/>
        <v>3.5333333333333306</v>
      </c>
      <c r="G110" s="20">
        <f>IF(($C$4+(Ensaios!$X$29/Ensaios!$X$28))*(EXP((-Ensaios!$X$28/$C$2)*(IF(F110-($F$12+($B$8/120))&lt;0,0,F110-($F$12+($B$8/120))))))-(Ensaios!$X$29/Ensaios!$X$28)&gt;0,($C$4+(Ensaios!$X$29/Ensaios!$X$28))*(EXP((-Ensaios!$X$28/$C$2)*(IF(F110-($F$12+($B$8/120))&lt;0,0,F110-($F$12+($B$8/120))))))-(Ensaios!$X$29/Ensaios!$X$28),0)</f>
        <v>0</v>
      </c>
      <c r="H110" s="20">
        <f t="shared" si="6"/>
        <v>0</v>
      </c>
      <c r="I110" s="20">
        <f t="shared" si="4"/>
        <v>3.2333333333333307</v>
      </c>
    </row>
    <row r="111" spans="5:11" x14ac:dyDescent="0.25">
      <c r="E111" s="20">
        <v>107</v>
      </c>
      <c r="F111" s="20">
        <f t="shared" si="5"/>
        <v>3.5666666666666638</v>
      </c>
      <c r="G111" s="20">
        <f>IF(($C$4+(Ensaios!$X$29/Ensaios!$X$28))*(EXP((-Ensaios!$X$28/$C$2)*(IF(F111-($F$12+($B$8/120))&lt;0,0,F111-($F$12+($B$8/120))))))-(Ensaios!$X$29/Ensaios!$X$28)&gt;0,($C$4+(Ensaios!$X$29/Ensaios!$X$28))*(EXP((-Ensaios!$X$28/$C$2)*(IF(F111-($F$12+($B$8/120))&lt;0,0,F111-($F$12+($B$8/120))))))-(Ensaios!$X$29/Ensaios!$X$28),0)</f>
        <v>0</v>
      </c>
      <c r="H111" s="20">
        <f t="shared" si="6"/>
        <v>0</v>
      </c>
      <c r="I111" s="20">
        <f t="shared" si="4"/>
        <v>3.2666666666666639</v>
      </c>
    </row>
    <row r="112" spans="5:11" x14ac:dyDescent="0.25">
      <c r="E112" s="20">
        <v>108</v>
      </c>
      <c r="F112" s="20">
        <f t="shared" si="5"/>
        <v>3.599999999999997</v>
      </c>
      <c r="G112" s="20">
        <f>IF(($C$4+(Ensaios!$X$29/Ensaios!$X$28))*(EXP((-Ensaios!$X$28/$C$2)*(IF(F112-($F$12+($B$8/120))&lt;0,0,F112-($F$12+($B$8/120))))))-(Ensaios!$X$29/Ensaios!$X$28)&gt;0,($C$4+(Ensaios!$X$29/Ensaios!$X$28))*(EXP((-Ensaios!$X$28/$C$2)*(IF(F112-($F$12+($B$8/120))&lt;0,0,F112-($F$12+($B$8/120))))))-(Ensaios!$X$29/Ensaios!$X$28),0)</f>
        <v>0</v>
      </c>
      <c r="H112" s="20">
        <f t="shared" si="6"/>
        <v>0</v>
      </c>
      <c r="I112" s="20">
        <f t="shared" si="4"/>
        <v>3.2999999999999972</v>
      </c>
    </row>
    <row r="113" spans="5:9" x14ac:dyDescent="0.25">
      <c r="E113" s="20">
        <v>109</v>
      </c>
      <c r="F113" s="20">
        <f t="shared" si="5"/>
        <v>3.6333333333333302</v>
      </c>
      <c r="G113" s="20">
        <f>IF(($C$4+(Ensaios!$X$29/Ensaios!$X$28))*(EXP((-Ensaios!$X$28/$C$2)*(IF(F113-($F$12+($B$8/120))&lt;0,0,F113-($F$12+($B$8/120))))))-(Ensaios!$X$29/Ensaios!$X$28)&gt;0,($C$4+(Ensaios!$X$29/Ensaios!$X$28))*(EXP((-Ensaios!$X$28/$C$2)*(IF(F113-($F$12+($B$8/120))&lt;0,0,F113-($F$12+($B$8/120))))))-(Ensaios!$X$29/Ensaios!$X$28),0)</f>
        <v>0</v>
      </c>
      <c r="H113" s="20">
        <f t="shared" si="6"/>
        <v>0</v>
      </c>
      <c r="I113" s="20">
        <f t="shared" si="4"/>
        <v>3.3333333333333304</v>
      </c>
    </row>
    <row r="114" spans="5:9" x14ac:dyDescent="0.25">
      <c r="E114" s="20">
        <v>110</v>
      </c>
      <c r="F114" s="20">
        <f t="shared" si="5"/>
        <v>3.6666666666666634</v>
      </c>
      <c r="G114" s="20">
        <f>IF(($C$4+(Ensaios!$X$29/Ensaios!$X$28))*(EXP((-Ensaios!$X$28/$C$2)*(IF(F114-($F$12+($B$8/120))&lt;0,0,F114-($F$12+($B$8/120))))))-(Ensaios!$X$29/Ensaios!$X$28)&gt;0,($C$4+(Ensaios!$X$29/Ensaios!$X$28))*(EXP((-Ensaios!$X$28/$C$2)*(IF(F114-($F$12+($B$8/120))&lt;0,0,F114-($F$12+($B$8/120))))))-(Ensaios!$X$29/Ensaios!$X$28),0)</f>
        <v>0</v>
      </c>
      <c r="H114" s="20">
        <f>(G114*60)/(2*PI())</f>
        <v>0</v>
      </c>
      <c r="I114" s="20">
        <f t="shared" si="4"/>
        <v>3.3666666666666636</v>
      </c>
    </row>
    <row r="115" spans="5:9" x14ac:dyDescent="0.25">
      <c r="E115" s="20">
        <v>111</v>
      </c>
      <c r="F115" s="20">
        <f t="shared" si="5"/>
        <v>3.6999999999999966</v>
      </c>
      <c r="G115" s="20">
        <f>IF(($C$4+(Ensaios!$X$29/Ensaios!$X$28))*(EXP((-Ensaios!$X$28/$C$2)*(IF(F115-($F$12+($B$8/120))&lt;0,0,F115-($F$12+($B$8/120))))))-(Ensaios!$X$29/Ensaios!$X$28)&gt;0,($C$4+(Ensaios!$X$29/Ensaios!$X$28))*(EXP((-Ensaios!$X$28/$C$2)*(IF(F115-($F$12+($B$8/120))&lt;0,0,F115-($F$12+($B$8/120))))))-(Ensaios!$X$29/Ensaios!$X$28),0)</f>
        <v>0</v>
      </c>
      <c r="H115" s="20">
        <f t="shared" ref="H115:H124" si="7">(G115*60)/(2*PI())</f>
        <v>0</v>
      </c>
      <c r="I115" s="20">
        <f t="shared" si="4"/>
        <v>3.3999999999999968</v>
      </c>
    </row>
    <row r="116" spans="5:9" x14ac:dyDescent="0.25">
      <c r="E116" s="20">
        <v>112</v>
      </c>
      <c r="F116" s="20">
        <f t="shared" si="5"/>
        <v>3.7333333333333298</v>
      </c>
      <c r="G116" s="20">
        <f>IF(($C$4+(Ensaios!$X$29/Ensaios!$X$28))*(EXP((-Ensaios!$X$28/$C$2)*(IF(F116-($F$12+($B$8/120))&lt;0,0,F116-($F$12+($B$8/120))))))-(Ensaios!$X$29/Ensaios!$X$28)&gt;0,($C$4+(Ensaios!$X$29/Ensaios!$X$28))*(EXP((-Ensaios!$X$28/$C$2)*(IF(F116-($F$12+($B$8/120))&lt;0,0,F116-($F$12+($B$8/120))))))-(Ensaios!$X$29/Ensaios!$X$28),0)</f>
        <v>0</v>
      </c>
      <c r="H116" s="20">
        <f t="shared" si="7"/>
        <v>0</v>
      </c>
      <c r="I116" s="20">
        <f t="shared" si="4"/>
        <v>3.43333333333333</v>
      </c>
    </row>
    <row r="117" spans="5:9" x14ac:dyDescent="0.25">
      <c r="E117" s="20">
        <v>113</v>
      </c>
      <c r="F117" s="20">
        <f t="shared" si="5"/>
        <v>3.7666666666666631</v>
      </c>
      <c r="G117" s="20">
        <f>IF(($C$4+(Ensaios!$X$29/Ensaios!$X$28))*(EXP((-Ensaios!$X$28/$C$2)*(IF(F117-($F$12+($B$8/120))&lt;0,0,F117-($F$12+($B$8/120))))))-(Ensaios!$X$29/Ensaios!$X$28)&gt;0,($C$4+(Ensaios!$X$29/Ensaios!$X$28))*(EXP((-Ensaios!$X$28/$C$2)*(IF(F117-($F$12+($B$8/120))&lt;0,0,F117-($F$12+($B$8/120))))))-(Ensaios!$X$29/Ensaios!$X$28),0)</f>
        <v>0</v>
      </c>
      <c r="H117" s="20">
        <f t="shared" si="7"/>
        <v>0</v>
      </c>
      <c r="I117" s="20">
        <f t="shared" si="4"/>
        <v>3.4666666666666632</v>
      </c>
    </row>
    <row r="118" spans="5:9" x14ac:dyDescent="0.25">
      <c r="E118" s="20">
        <v>114</v>
      </c>
      <c r="F118" s="20">
        <f t="shared" si="5"/>
        <v>3.7999999999999963</v>
      </c>
      <c r="G118" s="20">
        <f>IF(($C$4+(Ensaios!$X$29/Ensaios!$X$28))*(EXP((-Ensaios!$X$28/$C$2)*(IF(F118-($F$12+($B$8/120))&lt;0,0,F118-($F$12+($B$8/120))))))-(Ensaios!$X$29/Ensaios!$X$28)&gt;0,($C$4+(Ensaios!$X$29/Ensaios!$X$28))*(EXP((-Ensaios!$X$28/$C$2)*(IF(F118-($F$12+($B$8/120))&lt;0,0,F118-($F$12+($B$8/120))))))-(Ensaios!$X$29/Ensaios!$X$28),0)</f>
        <v>0</v>
      </c>
      <c r="H118" s="20">
        <f t="shared" si="7"/>
        <v>0</v>
      </c>
      <c r="I118" s="20">
        <f t="shared" si="4"/>
        <v>3.4999999999999964</v>
      </c>
    </row>
    <row r="119" spans="5:9" x14ac:dyDescent="0.25">
      <c r="E119" s="20">
        <v>115</v>
      </c>
      <c r="F119" s="20">
        <f t="shared" si="5"/>
        <v>3.8333333333333295</v>
      </c>
      <c r="G119" s="20">
        <f>IF(($C$4+(Ensaios!$X$29/Ensaios!$X$28))*(EXP((-Ensaios!$X$28/$C$2)*(IF(F119-($F$12+($B$8/120))&lt;0,0,F119-($F$12+($B$8/120))))))-(Ensaios!$X$29/Ensaios!$X$28)&gt;0,($C$4+(Ensaios!$X$29/Ensaios!$X$28))*(EXP((-Ensaios!$X$28/$C$2)*(IF(F119-($F$12+($B$8/120))&lt;0,0,F119-($F$12+($B$8/120))))))-(Ensaios!$X$29/Ensaios!$X$28),0)</f>
        <v>0</v>
      </c>
      <c r="H119" s="20">
        <f t="shared" si="7"/>
        <v>0</v>
      </c>
      <c r="I119" s="20">
        <f t="shared" si="4"/>
        <v>3.5333333333333297</v>
      </c>
    </row>
    <row r="120" spans="5:9" x14ac:dyDescent="0.25">
      <c r="E120" s="20">
        <v>116</v>
      </c>
      <c r="F120" s="20">
        <f t="shared" si="5"/>
        <v>3.8666666666666627</v>
      </c>
      <c r="G120" s="20">
        <f>IF(($C$4+(Ensaios!$X$29/Ensaios!$X$28))*(EXP((-Ensaios!$X$28/$C$2)*(IF(F120-($F$12+($B$8/120))&lt;0,0,F120-($F$12+($B$8/120))))))-(Ensaios!$X$29/Ensaios!$X$28)&gt;0,($C$4+(Ensaios!$X$29/Ensaios!$X$28))*(EXP((-Ensaios!$X$28/$C$2)*(IF(F120-($F$12+($B$8/120))&lt;0,0,F120-($F$12+($B$8/120))))))-(Ensaios!$X$29/Ensaios!$X$28),0)</f>
        <v>0</v>
      </c>
      <c r="H120" s="20">
        <f t="shared" si="7"/>
        <v>0</v>
      </c>
      <c r="I120" s="20">
        <f t="shared" si="4"/>
        <v>3.5666666666666629</v>
      </c>
    </row>
    <row r="121" spans="5:9" x14ac:dyDescent="0.25">
      <c r="E121" s="20">
        <v>117</v>
      </c>
      <c r="F121" s="20">
        <f t="shared" si="5"/>
        <v>3.8999999999999959</v>
      </c>
      <c r="G121" s="20">
        <f>IF(($C$4+(Ensaios!$X$29/Ensaios!$X$28))*(EXP((-Ensaios!$X$28/$C$2)*(IF(F121-($F$12+($B$8/120))&lt;0,0,F121-($F$12+($B$8/120))))))-(Ensaios!$X$29/Ensaios!$X$28)&gt;0,($C$4+(Ensaios!$X$29/Ensaios!$X$28))*(EXP((-Ensaios!$X$28/$C$2)*(IF(F121-($F$12+($B$8/120))&lt;0,0,F121-($F$12+($B$8/120))))))-(Ensaios!$X$29/Ensaios!$X$28),0)</f>
        <v>0</v>
      </c>
      <c r="H121" s="20">
        <f t="shared" si="7"/>
        <v>0</v>
      </c>
      <c r="I121" s="20">
        <f t="shared" si="4"/>
        <v>3.5999999999999961</v>
      </c>
    </row>
    <row r="122" spans="5:9" x14ac:dyDescent="0.25">
      <c r="E122" s="20">
        <v>118</v>
      </c>
      <c r="F122" s="20">
        <f t="shared" si="5"/>
        <v>3.9333333333333291</v>
      </c>
      <c r="G122" s="20">
        <f>IF(($C$4+(Ensaios!$X$29/Ensaios!$X$28))*(EXP((-Ensaios!$X$28/$C$2)*(IF(F122-($F$12+($B$8/120))&lt;0,0,F122-($F$12+($B$8/120))))))-(Ensaios!$X$29/Ensaios!$X$28)&gt;0,($C$4+(Ensaios!$X$29/Ensaios!$X$28))*(EXP((-Ensaios!$X$28/$C$2)*(IF(F122-($F$12+($B$8/120))&lt;0,0,F122-($F$12+($B$8/120))))))-(Ensaios!$X$29/Ensaios!$X$28),0)</f>
        <v>0</v>
      </c>
      <c r="H122" s="20">
        <f t="shared" si="7"/>
        <v>0</v>
      </c>
      <c r="I122" s="20">
        <f t="shared" si="4"/>
        <v>3.6333333333333293</v>
      </c>
    </row>
    <row r="123" spans="5:9" x14ac:dyDescent="0.25">
      <c r="E123" s="20">
        <v>119</v>
      </c>
      <c r="F123" s="20">
        <f t="shared" si="5"/>
        <v>3.9666666666666623</v>
      </c>
      <c r="G123" s="20">
        <f>IF(($C$4+(Ensaios!$X$29/Ensaios!$X$28))*(EXP((-Ensaios!$X$28/$C$2)*(IF(F123-($F$12+($B$8/120))&lt;0,0,F123-($F$12+($B$8/120))))))-(Ensaios!$X$29/Ensaios!$X$28)&gt;0,($C$4+(Ensaios!$X$29/Ensaios!$X$28))*(EXP((-Ensaios!$X$28/$C$2)*(IF(F123-($F$12+($B$8/120))&lt;0,0,F123-($F$12+($B$8/120))))))-(Ensaios!$X$29/Ensaios!$X$28),0)</f>
        <v>0</v>
      </c>
      <c r="H123" s="20">
        <f t="shared" si="7"/>
        <v>0</v>
      </c>
      <c r="I123" s="20">
        <f t="shared" si="4"/>
        <v>3.6666666666666625</v>
      </c>
    </row>
    <row r="124" spans="5:9" x14ac:dyDescent="0.25">
      <c r="E124" s="20">
        <v>120</v>
      </c>
      <c r="F124" s="20">
        <f t="shared" si="5"/>
        <v>3.9999999999999956</v>
      </c>
      <c r="G124" s="20">
        <f>IF(($C$4+(Ensaios!$X$29/Ensaios!$X$28))*(EXP((-Ensaios!$X$28/$C$2)*(IF(F124-($F$12+($B$8/120))&lt;0,0,F124-($F$12+($B$8/120))))))-(Ensaios!$X$29/Ensaios!$X$28)&gt;0,($C$4+(Ensaios!$X$29/Ensaios!$X$28))*(EXP((-Ensaios!$X$28/$C$2)*(IF(F124-($F$12+($B$8/120))&lt;0,0,F124-($F$12+($B$8/120))))))-(Ensaios!$X$29/Ensaios!$X$28),0)</f>
        <v>0</v>
      </c>
      <c r="H124" s="20">
        <f t="shared" si="7"/>
        <v>0</v>
      </c>
      <c r="I124" s="20">
        <f t="shared" si="4"/>
        <v>3.6999999999999957</v>
      </c>
    </row>
    <row r="130" spans="6:8" x14ac:dyDescent="0.25">
      <c r="F130" s="20">
        <v>0.71599999999999997</v>
      </c>
      <c r="G130" s="32">
        <f>($C$4+(Ensaios!$X$29/Ensaios!$X$28))*(EXP((-Ensaios!$X$28/$C$2)*F130))-(Ensaios!$X$29/Ensaios!$X$28)</f>
        <v>872.07931487945098</v>
      </c>
      <c r="H130" s="20">
        <f>(G130*60)/(2*PI())</f>
        <v>8327.7440238754862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0BE2-C996-475B-9504-9357594DA8F7}">
  <dimension ref="G4:AF11"/>
  <sheetViews>
    <sheetView topLeftCell="C1" workbookViewId="0">
      <selection activeCell="Y7" sqref="N7:Y7"/>
    </sheetView>
  </sheetViews>
  <sheetFormatPr defaultColWidth="2.85546875" defaultRowHeight="15" x14ac:dyDescent="0.25"/>
  <cols>
    <col min="24" max="24" width="2.85546875" customWidth="1"/>
  </cols>
  <sheetData>
    <row r="4" spans="7:32" x14ac:dyDescent="0.25"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18"/>
      <c r="U4" s="18"/>
      <c r="V4" s="18"/>
      <c r="W4" s="18"/>
      <c r="Y4" s="18"/>
      <c r="Z4" s="18"/>
      <c r="AA4" s="18"/>
      <c r="AB4" s="19"/>
      <c r="AC4" s="19"/>
      <c r="AD4" s="19"/>
      <c r="AE4" s="18"/>
      <c r="AF4" s="18"/>
    </row>
    <row r="5" spans="7:32" x14ac:dyDescent="0.25">
      <c r="G5" s="18"/>
      <c r="H5" s="18"/>
      <c r="I5" s="18"/>
      <c r="J5" s="19"/>
      <c r="K5" s="18"/>
      <c r="L5" s="18"/>
      <c r="M5" s="18"/>
      <c r="N5" s="18"/>
      <c r="P5" s="18"/>
      <c r="Q5" s="18"/>
      <c r="R5" s="18"/>
      <c r="S5" s="19"/>
      <c r="T5" s="19"/>
      <c r="U5" s="18"/>
      <c r="V5" s="18"/>
      <c r="W5" s="18"/>
      <c r="Y5" s="18"/>
      <c r="Z5" s="18"/>
      <c r="AA5" s="18"/>
      <c r="AB5" s="19"/>
      <c r="AC5" s="19"/>
      <c r="AD5" s="19"/>
      <c r="AE5" s="18"/>
      <c r="AF5" s="18"/>
    </row>
    <row r="6" spans="7:32" x14ac:dyDescent="0.25">
      <c r="G6" s="18"/>
      <c r="H6" s="18"/>
      <c r="I6" s="19"/>
      <c r="J6" s="19"/>
      <c r="K6" s="19"/>
      <c r="L6" s="18"/>
      <c r="M6" s="18"/>
      <c r="N6" s="18"/>
      <c r="P6" s="18"/>
      <c r="Q6" s="18"/>
      <c r="R6" s="19"/>
      <c r="S6" s="19"/>
      <c r="T6" s="19"/>
      <c r="U6" s="19"/>
      <c r="V6" s="18"/>
      <c r="W6" s="18"/>
      <c r="Y6" s="18"/>
      <c r="Z6" s="18"/>
      <c r="AA6" s="18"/>
      <c r="AB6" s="19"/>
      <c r="AC6" s="19"/>
      <c r="AD6" s="19"/>
      <c r="AE6" s="18"/>
      <c r="AF6" s="18"/>
    </row>
    <row r="7" spans="7:32" x14ac:dyDescent="0.25">
      <c r="G7" s="18"/>
      <c r="H7" s="19"/>
      <c r="I7" s="19"/>
      <c r="J7" s="19"/>
      <c r="K7" s="19"/>
      <c r="L7" s="19"/>
      <c r="M7" s="18"/>
      <c r="N7" s="18"/>
      <c r="P7" s="18"/>
      <c r="Q7" s="19"/>
      <c r="R7" s="19"/>
      <c r="S7" s="19"/>
      <c r="T7" s="19"/>
      <c r="U7" s="19"/>
      <c r="V7" s="19"/>
      <c r="W7" s="18"/>
      <c r="Y7" s="18"/>
      <c r="Z7" s="19"/>
      <c r="AA7" s="19"/>
      <c r="AB7" s="19"/>
      <c r="AC7" s="19"/>
      <c r="AD7" s="19"/>
      <c r="AE7" s="19"/>
      <c r="AF7" s="19"/>
    </row>
    <row r="8" spans="7:32" x14ac:dyDescent="0.25">
      <c r="G8" s="19"/>
      <c r="H8" s="19"/>
      <c r="I8" s="19"/>
      <c r="J8" s="19"/>
      <c r="K8" s="19"/>
      <c r="L8" s="19"/>
      <c r="M8" s="19"/>
      <c r="N8" s="18"/>
      <c r="P8" s="18"/>
      <c r="Q8" s="19"/>
      <c r="R8" s="19"/>
      <c r="S8" s="19"/>
      <c r="T8" s="19"/>
      <c r="U8" s="19"/>
      <c r="V8" s="19"/>
      <c r="W8" s="18"/>
      <c r="Y8" s="18"/>
      <c r="Z8" s="18"/>
      <c r="AA8" s="19"/>
      <c r="AB8" s="19"/>
      <c r="AC8" s="19"/>
      <c r="AD8" s="19"/>
      <c r="AE8" s="19"/>
      <c r="AF8" s="18"/>
    </row>
    <row r="9" spans="7:32" x14ac:dyDescent="0.25">
      <c r="G9" s="18"/>
      <c r="H9" s="18"/>
      <c r="I9" s="19"/>
      <c r="J9" s="19"/>
      <c r="K9" s="19"/>
      <c r="L9" s="18"/>
      <c r="M9" s="18"/>
      <c r="N9" s="18"/>
      <c r="P9" s="18"/>
      <c r="Q9" s="18"/>
      <c r="R9" s="19"/>
      <c r="S9" s="19"/>
      <c r="T9" s="19"/>
      <c r="U9" s="19"/>
      <c r="V9" s="18"/>
      <c r="W9" s="18"/>
      <c r="Y9" s="18"/>
      <c r="Z9" s="18"/>
      <c r="AA9" s="18"/>
      <c r="AB9" s="19"/>
      <c r="AC9" s="19"/>
      <c r="AD9" s="19"/>
      <c r="AE9" s="18"/>
      <c r="AF9" s="18"/>
    </row>
    <row r="10" spans="7:32" x14ac:dyDescent="0.25">
      <c r="G10" s="18"/>
      <c r="H10" s="18"/>
      <c r="I10" s="19"/>
      <c r="J10" s="19"/>
      <c r="K10" s="19"/>
      <c r="L10" s="18"/>
      <c r="M10" s="18"/>
      <c r="N10" s="18"/>
      <c r="P10" s="18"/>
      <c r="Q10" s="18"/>
      <c r="R10" s="18"/>
      <c r="S10" s="19"/>
      <c r="T10" s="19"/>
      <c r="U10" s="18"/>
      <c r="V10" s="18"/>
      <c r="W10" s="18"/>
      <c r="Y10" s="18"/>
      <c r="Z10" s="18"/>
      <c r="AA10" s="18"/>
      <c r="AB10" s="18"/>
      <c r="AC10" s="19"/>
      <c r="AD10" s="18"/>
      <c r="AE10" s="18"/>
      <c r="AF10" s="18"/>
    </row>
    <row r="11" spans="7:32" x14ac:dyDescent="0.25">
      <c r="G11" s="18"/>
      <c r="H11" s="18"/>
      <c r="I11" s="19"/>
      <c r="J11" s="19"/>
      <c r="K11" s="19"/>
      <c r="L11" s="18"/>
      <c r="M11" s="18"/>
      <c r="N11" s="18"/>
      <c r="P11" s="18"/>
      <c r="Q11" s="18"/>
      <c r="R11" s="18"/>
      <c r="S11" s="18"/>
      <c r="T11" s="18"/>
      <c r="U11" s="18"/>
      <c r="V11" s="18"/>
      <c r="W11" s="18"/>
      <c r="Y11" s="18"/>
      <c r="Z11" s="18"/>
      <c r="AA11" s="18"/>
      <c r="AB11" s="18"/>
      <c r="AC11" s="18"/>
      <c r="AD11" s="18"/>
      <c r="AE11" s="18"/>
      <c r="AF11" s="1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C8A6-BB31-4416-9A38-286960AA3B65}">
  <dimension ref="B6:J12"/>
  <sheetViews>
    <sheetView workbookViewId="0">
      <selection activeCell="M6" sqref="M6"/>
    </sheetView>
  </sheetViews>
  <sheetFormatPr defaultRowHeight="15" x14ac:dyDescent="0.25"/>
  <cols>
    <col min="1" max="4" width="9.140625" style="20"/>
    <col min="5" max="5" width="10" style="20" bestFit="1" customWidth="1"/>
    <col min="6" max="6" width="9.140625" style="20"/>
    <col min="7" max="7" width="23.140625" style="20" bestFit="1" customWidth="1"/>
    <col min="8" max="8" width="16" style="20" bestFit="1" customWidth="1"/>
    <col min="9" max="9" width="21.42578125" style="20" bestFit="1" customWidth="1"/>
    <col min="10" max="10" width="19" style="20" bestFit="1" customWidth="1"/>
    <col min="11" max="16384" width="9.140625" style="20"/>
  </cols>
  <sheetData>
    <row r="6" spans="2:10" ht="150" x14ac:dyDescent="0.25">
      <c r="B6" s="68" t="s">
        <v>110</v>
      </c>
    </row>
    <row r="8" spans="2:10" x14ac:dyDescent="0.25">
      <c r="F8" s="20" t="s">
        <v>103</v>
      </c>
      <c r="G8" s="20" t="s">
        <v>108</v>
      </c>
      <c r="H8" s="20" t="s">
        <v>109</v>
      </c>
      <c r="I8" s="20" t="s">
        <v>111</v>
      </c>
      <c r="J8" s="20" t="s">
        <v>112</v>
      </c>
    </row>
    <row r="9" spans="2:10" x14ac:dyDescent="0.25">
      <c r="E9" s="20" t="s">
        <v>106</v>
      </c>
      <c r="F9" s="69" t="s">
        <v>104</v>
      </c>
    </row>
    <row r="10" spans="2:10" x14ac:dyDescent="0.25">
      <c r="E10" s="20" t="s">
        <v>107</v>
      </c>
      <c r="F10" s="69"/>
    </row>
    <row r="11" spans="2:10" x14ac:dyDescent="0.25">
      <c r="E11" s="20" t="s">
        <v>106</v>
      </c>
      <c r="F11" s="69" t="s">
        <v>105</v>
      </c>
    </row>
    <row r="12" spans="2:10" x14ac:dyDescent="0.25">
      <c r="E12" s="20" t="s">
        <v>107</v>
      </c>
      <c r="F12" s="69"/>
    </row>
  </sheetData>
  <mergeCells count="2">
    <mergeCell ref="F9:F10"/>
    <mergeCell ref="F11:F1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3EC0-2D3F-4EA9-B6CA-56A109662D4E}">
  <dimension ref="B7:AW25"/>
  <sheetViews>
    <sheetView workbookViewId="0">
      <selection activeCell="L33" sqref="L33"/>
    </sheetView>
  </sheetViews>
  <sheetFormatPr defaultColWidth="3.5703125" defaultRowHeight="15" x14ac:dyDescent="0.25"/>
  <cols>
    <col min="1" max="16384" width="3.5703125" style="49"/>
  </cols>
  <sheetData>
    <row r="7" spans="2:49" ht="15.75" thickBot="1" x14ac:dyDescent="0.3">
      <c r="I7" s="87"/>
      <c r="J7" s="87"/>
      <c r="K7" s="87"/>
      <c r="L7" s="87"/>
      <c r="Q7" s="87"/>
      <c r="R7" s="87"/>
      <c r="S7" s="87"/>
      <c r="T7" s="87"/>
    </row>
    <row r="8" spans="2:49" ht="15.75" thickTop="1" x14ac:dyDescent="0.25">
      <c r="B8" s="88" t="s">
        <v>113</v>
      </c>
      <c r="C8" s="88"/>
      <c r="D8" s="88"/>
      <c r="I8" s="89"/>
      <c r="M8" s="89"/>
      <c r="Q8" s="89"/>
      <c r="U8" s="89"/>
      <c r="AA8" s="88" t="s">
        <v>114</v>
      </c>
      <c r="AB8" s="88"/>
      <c r="AC8" s="88"/>
      <c r="AD8" s="90"/>
      <c r="AE8" s="90"/>
      <c r="AF8" s="90"/>
      <c r="AG8" s="90"/>
      <c r="AH8" s="89"/>
      <c r="AL8" s="91"/>
      <c r="AM8" s="90"/>
      <c r="AN8" s="90"/>
      <c r="AO8" s="90"/>
      <c r="AP8" s="89"/>
      <c r="AT8" s="91"/>
      <c r="AU8" s="90"/>
      <c r="AV8" s="90"/>
      <c r="AW8" s="90"/>
    </row>
    <row r="9" spans="2:49" x14ac:dyDescent="0.25">
      <c r="B9" s="88"/>
      <c r="C9" s="88"/>
      <c r="D9" s="88"/>
      <c r="I9" s="89"/>
      <c r="M9" s="89"/>
      <c r="Q9" s="89"/>
      <c r="U9" s="89"/>
      <c r="AA9" s="88"/>
      <c r="AB9" s="88"/>
      <c r="AC9" s="88"/>
      <c r="AH9" s="89"/>
      <c r="AL9" s="89"/>
      <c r="AP9" s="89"/>
      <c r="AT9" s="89"/>
    </row>
    <row r="10" spans="2:49" x14ac:dyDescent="0.25">
      <c r="B10" s="88"/>
      <c r="C10" s="88"/>
      <c r="D10" s="88"/>
      <c r="I10" s="89"/>
      <c r="M10" s="89"/>
      <c r="Q10" s="89"/>
      <c r="U10" s="89"/>
      <c r="AA10" s="88"/>
      <c r="AB10" s="88"/>
      <c r="AC10" s="88"/>
      <c r="AH10" s="89"/>
      <c r="AL10" s="89"/>
      <c r="AP10" s="89"/>
      <c r="AT10" s="89"/>
    </row>
    <row r="11" spans="2:49" ht="15.75" thickBot="1" x14ac:dyDescent="0.3">
      <c r="B11" s="88"/>
      <c r="C11" s="88"/>
      <c r="D11" s="88"/>
      <c r="E11" s="92"/>
      <c r="F11" s="92"/>
      <c r="G11" s="92"/>
      <c r="H11" s="92"/>
      <c r="I11" s="89"/>
      <c r="M11" s="93"/>
      <c r="N11" s="92"/>
      <c r="O11" s="92"/>
      <c r="P11" s="92"/>
      <c r="Q11" s="89"/>
      <c r="U11" s="93"/>
      <c r="V11" s="92"/>
      <c r="W11" s="92"/>
      <c r="X11" s="92"/>
      <c r="AA11" s="88"/>
      <c r="AB11" s="88"/>
      <c r="AC11" s="88"/>
      <c r="AH11" s="89"/>
      <c r="AL11" s="89"/>
      <c r="AP11" s="89"/>
      <c r="AT11" s="89"/>
    </row>
    <row r="12" spans="2:49" ht="15.75" thickTop="1" x14ac:dyDescent="0.25">
      <c r="AH12" s="90"/>
      <c r="AI12" s="90"/>
      <c r="AJ12" s="90"/>
      <c r="AK12" s="90"/>
      <c r="AP12" s="90"/>
      <c r="AQ12" s="90"/>
      <c r="AR12" s="90"/>
      <c r="AS12" s="90"/>
    </row>
    <row r="13" spans="2:49" ht="15.75" thickBot="1" x14ac:dyDescent="0.3">
      <c r="F13" s="87"/>
      <c r="G13" s="87"/>
      <c r="H13" s="87"/>
      <c r="I13" s="87"/>
      <c r="N13" s="87"/>
      <c r="O13" s="87"/>
      <c r="P13" s="87"/>
      <c r="Q13" s="87"/>
      <c r="V13" s="87"/>
      <c r="W13" s="87"/>
      <c r="X13" s="87"/>
    </row>
    <row r="14" spans="2:49" ht="15.75" thickTop="1" x14ac:dyDescent="0.25">
      <c r="B14" s="94" t="s">
        <v>115</v>
      </c>
      <c r="C14" s="88"/>
      <c r="D14" s="88"/>
      <c r="F14" s="91"/>
      <c r="J14" s="89"/>
      <c r="N14" s="89"/>
      <c r="R14" s="89"/>
      <c r="V14" s="89"/>
      <c r="AA14" s="88" t="s">
        <v>116</v>
      </c>
      <c r="AB14" s="88"/>
      <c r="AC14" s="88"/>
      <c r="AD14" s="90"/>
      <c r="AE14" s="89"/>
      <c r="AI14" s="91"/>
      <c r="AJ14" s="90"/>
      <c r="AK14" s="90"/>
      <c r="AL14" s="90"/>
      <c r="AM14" s="89"/>
      <c r="AQ14" s="91"/>
      <c r="AR14" s="90"/>
      <c r="AS14" s="90"/>
      <c r="AT14" s="90"/>
      <c r="AU14" s="89"/>
    </row>
    <row r="15" spans="2:49" x14ac:dyDescent="0.25">
      <c r="B15" s="88"/>
      <c r="C15" s="88"/>
      <c r="D15" s="88"/>
      <c r="F15" s="89"/>
      <c r="J15" s="89"/>
      <c r="N15" s="89"/>
      <c r="R15" s="89"/>
      <c r="V15" s="89"/>
      <c r="AA15" s="88"/>
      <c r="AB15" s="88"/>
      <c r="AC15" s="88"/>
      <c r="AE15" s="89"/>
      <c r="AI15" s="89"/>
      <c r="AM15" s="89"/>
      <c r="AQ15" s="89"/>
      <c r="AU15" s="89"/>
    </row>
    <row r="16" spans="2:49" x14ac:dyDescent="0.25">
      <c r="B16" s="88"/>
      <c r="C16" s="88"/>
      <c r="D16" s="88"/>
      <c r="F16" s="89"/>
      <c r="J16" s="89"/>
      <c r="N16" s="89"/>
      <c r="R16" s="89"/>
      <c r="V16" s="89"/>
      <c r="AA16" s="88"/>
      <c r="AB16" s="88"/>
      <c r="AC16" s="88"/>
      <c r="AE16" s="89"/>
      <c r="AI16" s="89"/>
      <c r="AM16" s="89"/>
      <c r="AQ16" s="89"/>
      <c r="AU16" s="89"/>
    </row>
    <row r="17" spans="2:49" ht="15.75" thickBot="1" x14ac:dyDescent="0.3">
      <c r="B17" s="88"/>
      <c r="C17" s="88"/>
      <c r="D17" s="88"/>
      <c r="F17" s="89"/>
      <c r="J17" s="95"/>
      <c r="K17" s="87"/>
      <c r="L17" s="87"/>
      <c r="M17" s="87"/>
      <c r="N17" s="89"/>
      <c r="R17" s="95"/>
      <c r="S17" s="87"/>
      <c r="T17" s="87"/>
      <c r="U17" s="87"/>
      <c r="V17" s="89"/>
      <c r="AA17" s="88"/>
      <c r="AB17" s="88"/>
      <c r="AC17" s="88"/>
      <c r="AE17" s="95"/>
      <c r="AI17" s="89"/>
      <c r="AM17" s="89"/>
      <c r="AQ17" s="89"/>
      <c r="AU17" s="89"/>
    </row>
    <row r="18" spans="2:49" ht="15.75" thickTop="1" x14ac:dyDescent="0.25">
      <c r="E18" s="90"/>
      <c r="AE18" s="90"/>
      <c r="AF18" s="90"/>
      <c r="AG18" s="90"/>
      <c r="AH18" s="90"/>
      <c r="AM18" s="90"/>
      <c r="AN18" s="90"/>
      <c r="AO18" s="90"/>
      <c r="AP18" s="90"/>
      <c r="AU18" s="90"/>
      <c r="AV18" s="90"/>
      <c r="AW18" s="90"/>
    </row>
    <row r="19" spans="2:49" ht="15.75" thickBot="1" x14ac:dyDescent="0.3"/>
    <row r="20" spans="2:49" ht="15.75" thickTop="1" x14ac:dyDescent="0.25">
      <c r="B20" s="94" t="s">
        <v>117</v>
      </c>
      <c r="C20" s="88"/>
      <c r="D20" s="88"/>
      <c r="F20" s="91"/>
      <c r="G20" s="90"/>
      <c r="H20" s="90"/>
      <c r="I20" s="90"/>
      <c r="J20" s="90"/>
      <c r="K20" s="90"/>
      <c r="L20" s="90"/>
      <c r="M20" s="89"/>
      <c r="N20" s="91"/>
      <c r="O20" s="90"/>
      <c r="P20" s="90"/>
      <c r="Q20" s="90"/>
      <c r="R20" s="90"/>
      <c r="S20" s="90"/>
      <c r="T20" s="90"/>
      <c r="U20" s="89"/>
      <c r="V20" s="91"/>
      <c r="W20" s="90"/>
      <c r="X20" s="90"/>
      <c r="AA20" s="94" t="s">
        <v>118</v>
      </c>
      <c r="AB20" s="88"/>
      <c r="AC20" s="88"/>
      <c r="AD20" s="90"/>
      <c r="AE20" s="90"/>
      <c r="AF20" s="90"/>
      <c r="AG20" s="90"/>
      <c r="AH20" s="89"/>
      <c r="AI20" s="91"/>
      <c r="AJ20" s="90"/>
      <c r="AK20" s="90"/>
      <c r="AL20" s="90"/>
      <c r="AM20" s="90"/>
      <c r="AN20" s="90"/>
      <c r="AO20" s="90"/>
      <c r="AP20" s="89"/>
      <c r="AQ20" s="91"/>
      <c r="AR20" s="90"/>
      <c r="AS20" s="90"/>
      <c r="AT20" s="90"/>
      <c r="AU20" s="90"/>
      <c r="AV20" s="90"/>
      <c r="AW20" s="90"/>
    </row>
    <row r="21" spans="2:49" x14ac:dyDescent="0.25">
      <c r="B21" s="88"/>
      <c r="C21" s="88"/>
      <c r="D21" s="88"/>
      <c r="F21" s="89"/>
      <c r="M21" s="89"/>
      <c r="N21" s="89"/>
      <c r="U21" s="89"/>
      <c r="V21" s="89"/>
      <c r="AA21" s="88"/>
      <c r="AB21" s="88"/>
      <c r="AC21" s="88"/>
      <c r="AH21" s="89"/>
      <c r="AI21" s="89"/>
      <c r="AP21" s="89"/>
      <c r="AQ21" s="89"/>
    </row>
    <row r="22" spans="2:49" x14ac:dyDescent="0.25">
      <c r="B22" s="88"/>
      <c r="C22" s="88"/>
      <c r="D22" s="88"/>
      <c r="F22" s="89"/>
      <c r="M22" s="89"/>
      <c r="N22" s="89"/>
      <c r="U22" s="89"/>
      <c r="V22" s="89"/>
      <c r="AA22" s="88"/>
      <c r="AB22" s="88"/>
      <c r="AC22" s="88"/>
      <c r="AH22" s="89"/>
      <c r="AI22" s="89"/>
      <c r="AP22" s="89"/>
      <c r="AQ22" s="89"/>
    </row>
    <row r="23" spans="2:49" ht="15.75" thickBot="1" x14ac:dyDescent="0.3">
      <c r="B23" s="88"/>
      <c r="C23" s="88"/>
      <c r="D23" s="88"/>
      <c r="F23" s="89"/>
      <c r="M23" s="89"/>
      <c r="N23" s="89"/>
      <c r="U23" s="89"/>
      <c r="V23" s="89"/>
      <c r="AA23" s="88"/>
      <c r="AB23" s="88"/>
      <c r="AC23" s="88"/>
      <c r="AH23" s="89"/>
      <c r="AI23" s="89"/>
      <c r="AP23" s="89"/>
      <c r="AQ23" s="89"/>
    </row>
    <row r="24" spans="2:49" ht="15.75" thickTop="1" x14ac:dyDescent="0.25">
      <c r="E24" s="90"/>
      <c r="M24" s="90"/>
      <c r="U24" s="90"/>
      <c r="AH24" s="90"/>
      <c r="AP24" s="90"/>
    </row>
    <row r="25" spans="2:49" ht="18.75" x14ac:dyDescent="0.25">
      <c r="B25" s="96" t="s">
        <v>119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7"/>
      <c r="Z25" s="97"/>
      <c r="AA25" s="96" t="s">
        <v>120</v>
      </c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</row>
  </sheetData>
  <mergeCells count="8">
    <mergeCell ref="B25:X25"/>
    <mergeCell ref="AA25:AW25"/>
    <mergeCell ref="B8:D11"/>
    <mergeCell ref="AA8:AC11"/>
    <mergeCell ref="B14:D17"/>
    <mergeCell ref="AA14:AC17"/>
    <mergeCell ref="B20:D23"/>
    <mergeCell ref="AA20:AC2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B4228-3D74-4560-9B83-CE660AD75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Ensaios</vt:lpstr>
      <vt:lpstr>LM2917M-8</vt:lpstr>
      <vt:lpstr>SG3525</vt:lpstr>
      <vt:lpstr>Jm</vt:lpstr>
      <vt:lpstr>Planilha3</vt:lpstr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F9164</dc:creator>
  <cp:lastModifiedBy>F9164</cp:lastModifiedBy>
  <dcterms:created xsi:type="dcterms:W3CDTF">2025-11-27T19:39:45Z</dcterms:created>
  <dcterms:modified xsi:type="dcterms:W3CDTF">2026-07-03T12:51:39Z</dcterms:modified>
</cp:coreProperties>
</file>